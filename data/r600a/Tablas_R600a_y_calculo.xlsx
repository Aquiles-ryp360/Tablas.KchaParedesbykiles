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839b58af4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o" sheetId="1" r:id="R802c605e964c49b0"/>
    <x:sheet xmlns:r="http://schemas.openxmlformats.org/officeDocument/2006/relationships" name="Saturacion" sheetId="2" r:id="Rfb5fefd445ca4b90"/>
    <x:sheet xmlns:r="http://schemas.openxmlformats.org/officeDocument/2006/relationships" name="Volumen" sheetId="3" r:id="R473613fd23ea445b"/>
    <x:sheet xmlns:r="http://schemas.openxmlformats.org/officeDocument/2006/relationships" name="Entalpia" sheetId="4" r:id="Rc949f000b27846a6"/>
    <x:sheet xmlns:r="http://schemas.openxmlformats.org/officeDocument/2006/relationships" name="Entropia" sheetId="5" r:id="Rf72f9f27c436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0"/>
    <x:numFmt numFmtId="202" formatCode="0.00000000"/>
    <x:numFmt numFmtId="203" formatCode="0.00%"/>
  </x:numFmts>
  <x:fonts count="6">
    <x:font>
      <x:sz val="11"/>
      <x:name val="Carlito"/>
    </x:font>
    <x:font>
      <x:sz val="10"/>
      <x:color rgb="FF243747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526A78"/>
      <x:name val="Arial"/>
    </x:font>
    <x:font>
      <x:b/>
      <x:sz val="10"/>
      <x:color rgb="FF176A6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5D"/>
      </x:patternFill>
    </x:fill>
    <x:fill>
      <x:patternFill patternType="solid">
        <x:fgColor rgb="FFEA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3" fillId="2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3" fontId="1" fillId="3" borderId="0" xfId="0" applyNumberFormat="1" applyFont="1" applyFill="1" applyBorder="1"/>
    <x:xf numFmtId="203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d61ac7c8946da" /><Relationship Type="http://schemas.openxmlformats.org/officeDocument/2006/relationships/theme" Target="/xl/theme/theme1.xml" Id="Re5125d04f42a4018" /><Relationship Type="http://schemas.openxmlformats.org/officeDocument/2006/relationships/sharedStrings" Target="/xl/sharedStrings.xml" Id="R1958a83596ec4294" /><Relationship Type="http://schemas.openxmlformats.org/officeDocument/2006/relationships/worksheet" Target="/xl/worksheets/sheet1.xml" Id="R802c605e964c49b0" /><Relationship Type="http://schemas.openxmlformats.org/officeDocument/2006/relationships/worksheet" Target="/xl/worksheets/sheet2.xml" Id="Rfb5fefd445ca4b90" /><Relationship Type="http://schemas.openxmlformats.org/officeDocument/2006/relationships/worksheet" Target="/xl/worksheets/sheet3.xml" Id="R473613fd23ea445b" /><Relationship Type="http://schemas.openxmlformats.org/officeDocument/2006/relationships/worksheet" Target="/xl/worksheets/sheet4.xml" Id="Rc949f000b27846a6" /><Relationship Type="http://schemas.openxmlformats.org/officeDocument/2006/relationships/worksheet" Target="/xl/worksheets/sheet5.xml" Id="Rf72f9f27c436439a" /></Relationships>
</file>

<file path=xl/tables/table1.xml><?xml version="1.0" encoding="utf-8"?>
<x:table xmlns:x="http://schemas.openxmlformats.org/spreadsheetml/2006/main" id="1" name="R600a_saturated" displayName="R600a_saturated" ref="A4:L52" headerRowCount="1" totalsRowCount="0" totalsRowShown="0">
  <x:tableColumns count="12">
    <x:tableColumn id="1" name="P (bar)"/>
    <x:tableColumn id="2" name="T burbuja (°C)"/>
    <x:tableColumn id="3" name="v líquido (dm³/kg)"/>
    <x:tableColumn id="4" name="ρ líquido (kg/dm³)"/>
    <x:tableColumn id="5" name="h líquido (kJ/kg)"/>
    <x:tableColumn id="6" name="s líquido (kJ/kg K)"/>
    <x:tableColumn id="7" name="T rocío (°C)"/>
    <x:tableColumn id="8" name="v vapor (m³/kg)"/>
    <x:tableColumn id="9" name="ρ vapor (kg/m³)"/>
    <x:tableColumn id="10" name="h vapor (kJ/kg)"/>
    <x:tableColumn id="11" name="s vapor (kJ/kg K)"/>
    <x:tableColumn id="12" name="h fg (kJ/k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600a_volume" displayName="R600a_volume" ref="A4:W52" headerRowCount="1" totalsRowCount="0" totalsRowShown="0">
  <x:tableColumns count="23">
    <x:tableColumn id="1" name="T sat (°C)"/>
    <x:tableColumn id="2" name="P (bar)"/>
    <x:tableColumn id="3" name="ΔT 0 °C"/>
    <x:tableColumn id="4" name="ΔT 5 °C"/>
    <x:tableColumn id="5" name="ΔT 10 °C"/>
    <x:tableColumn id="6" name="ΔT 15 °C"/>
    <x:tableColumn id="7" name="ΔT 20 °C"/>
    <x:tableColumn id="8" name="ΔT 25 °C"/>
    <x:tableColumn id="9" name="ΔT 30 °C"/>
    <x:tableColumn id="10" name="ΔT 35 °C"/>
    <x:tableColumn id="11" name="ΔT 40 °C"/>
    <x:tableColumn id="12" name="ΔT 45 °C"/>
    <x:tableColumn id="13" name="ΔT 50 °C"/>
    <x:tableColumn id="14" name="ΔT 55 °C"/>
    <x:tableColumn id="15" name="ΔT 60 °C"/>
    <x:tableColumn id="16" name="ΔT 65 °C"/>
    <x:tableColumn id="17" name="ΔT 70 °C"/>
    <x:tableColumn id="18" name="ΔT 75 °C"/>
    <x:tableColumn id="19" name="ΔT 80 °C"/>
    <x:tableColumn id="20" name="ΔT 85 °C"/>
    <x:tableColumn id="21" name="ΔT 90 °C"/>
    <x:tableColumn id="22" name="ΔT 95 °C"/>
    <x:tableColumn id="23" name="ΔT 100 °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600a_enthalpy" displayName="R600a_enthalpy" ref="A4:W52" headerRowCount="1" totalsRowCount="0" totalsRowShown="0">
  <x:tableColumns count="23">
    <x:tableColumn id="1" name="T sat (°C)"/>
    <x:tableColumn id="2" name="P (bar)"/>
    <x:tableColumn id="3" name="ΔT 0 °C"/>
    <x:tableColumn id="4" name="ΔT 5 °C"/>
    <x:tableColumn id="5" name="ΔT 10 °C"/>
    <x:tableColumn id="6" name="ΔT 15 °C"/>
    <x:tableColumn id="7" name="ΔT 20 °C"/>
    <x:tableColumn id="8" name="ΔT 25 °C"/>
    <x:tableColumn id="9" name="ΔT 30 °C"/>
    <x:tableColumn id="10" name="ΔT 35 °C"/>
    <x:tableColumn id="11" name="ΔT 40 °C"/>
    <x:tableColumn id="12" name="ΔT 45 °C"/>
    <x:tableColumn id="13" name="ΔT 50 °C"/>
    <x:tableColumn id="14" name="ΔT 55 °C"/>
    <x:tableColumn id="15" name="ΔT 60 °C"/>
    <x:tableColumn id="16" name="ΔT 65 °C"/>
    <x:tableColumn id="17" name="ΔT 70 °C"/>
    <x:tableColumn id="18" name="ΔT 75 °C"/>
    <x:tableColumn id="19" name="ΔT 80 °C"/>
    <x:tableColumn id="20" name="ΔT 85 °C"/>
    <x:tableColumn id="21" name="ΔT 90 °C"/>
    <x:tableColumn id="22" name="ΔT 95 °C"/>
    <x:tableColumn id="23" name="ΔT 100 °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600a_entropy" displayName="R600a_entropy" ref="A4:W52" headerRowCount="1" totalsRowCount="0" totalsRowShown="0">
  <x:tableColumns count="23">
    <x:tableColumn id="1" name="T sat (°C)"/>
    <x:tableColumn id="2" name="P (bar)"/>
    <x:tableColumn id="3" name="ΔT 0 °C"/>
    <x:tableColumn id="4" name="ΔT 5 °C"/>
    <x:tableColumn id="5" name="ΔT 10 °C"/>
    <x:tableColumn id="6" name="ΔT 15 °C"/>
    <x:tableColumn id="7" name="ΔT 20 °C"/>
    <x:tableColumn id="8" name="ΔT 25 °C"/>
    <x:tableColumn id="9" name="ΔT 30 °C"/>
    <x:tableColumn id="10" name="ΔT 35 °C"/>
    <x:tableColumn id="11" name="ΔT 40 °C"/>
    <x:tableColumn id="12" name="ΔT 45 °C"/>
    <x:tableColumn id="13" name="ΔT 50 °C"/>
    <x:tableColumn id="14" name="ΔT 55 °C"/>
    <x:tableColumn id="15" name="ΔT 60 °C"/>
    <x:tableColumn id="16" name="ΔT 65 °C"/>
    <x:tableColumn id="17" name="ΔT 70 °C"/>
    <x:tableColumn id="18" name="ΔT 75 °C"/>
    <x:tableColumn id="19" name="ΔT 80 °C"/>
    <x:tableColumn id="20" name="ΔT 85 °C"/>
    <x:tableColumn id="21" name="ΔT 90 °C"/>
    <x:tableColumn id="22" name="ΔT 95 °C"/>
    <x:tableColumn id="23" name="ΔT 100 °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ef46d1f2b43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50a78f4b4147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89049cd1cd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15b6b6174047e4" /></Relationships>
</file>

<file path=xl/worksheets/sheet1.xml><?xml version="1.0" encoding="utf-8"?>
<x:worksheet xmlns:x="http://schemas.openxmlformats.org/spreadsheetml/2006/main">
  <x:sheetPr>
    <x:tabColor rgb="FF176A6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4" hidden="0" customWidth="1"/>
    <x:col min="4" max="4" width="45" hidden="0" customWidth="1"/>
  </x:cols>
  <x:sheetData>
    <x:row r="1" ht="34" customHeight="1">
      <x:c r="A1" s="3" t="str">
        <x:v>Planta geotérmica flash y binaria</x:v>
      </x:c>
      <x:c r="B1" s="3"/>
      <x:c r="C1" s="3"/>
      <x:c r="D1" s="3"/>
    </x:row>
    <x:row r="2" ht="30" customHeight="1">
      <x:c r="A2" s="7" t="str">
        <x:v>Caso de la fotografía: 230 °C y 230 kg/s. Propiedades de agua del repositorio; isobutano de tablas.pdf.</x:v>
      </x:c>
      <x:c r="B2" s="7"/>
      <x:c r="C2" s="7"/>
      <x:c r="D2" s="7"/>
    </x:row>
    <x:row r="3" ht="30" customHeight="1">
      <x:c r="A3" s="7" t="str">
        <x:v>Interpolaciones preparadas para 32,5 bar/145 °C y 4 bar/80 °C. Otras condiciones: usar la consulta Python.</x:v>
      </x:c>
      <x:c r="B3" s="7"/>
      <x:c r="C3" s="7"/>
      <x:c r="D3" s="7"/>
    </x:row>
    <x:row r="4" ht="36" customHeight="1">
      <x:c r="A4" s="5" t="str">
        <x:v>Magnitud</x:v>
      </x:c>
      <x:c r="B4" s="5" t="str">
        <x:v>Valor</x:v>
      </x:c>
      <x:c r="C4" s="5" t="str">
        <x:v>Unidad</x:v>
      </x:c>
      <x:c r="D4" s="5" t="str">
        <x:v>Dato o ecuación</x:v>
      </x:c>
    </x:row>
    <x:row r="5" ht="21" customHeight="1">
      <x:c r="A5" s="1" t="str">
        <x:v>Caudal geotérmico</x:v>
      </x:c>
      <x:c r="B5" s="9" t="n">
        <x:v>230</x:v>
      </x:c>
      <x:c r="C5" s="1" t="str">
        <x:v>kg/s</x:v>
      </x:c>
      <x:c r="D5" s="1" t="str">
        <x:v>Fotografía</x:v>
      </x:c>
    </x:row>
    <x:row r="6" ht="21" customHeight="1">
      <x:c r="A6" s="1" t="str">
        <x:v>h1: líquido a 230 °C</x:v>
      </x:c>
      <x:c r="B6" s="9" t="n">
        <x:v>990</x:v>
      </x:c>
      <x:c r="C6" s="1" t="str">
        <x:v>kJ/kg</x:v>
      </x:c>
      <x:c r="D6" s="1" t="str">
        <x:v>Agua: saturación</x:v>
      </x:c>
    </x:row>
    <x:row r="7" ht="21" customHeight="1">
      <x:c r="A7" s="1" t="str">
        <x:v>hf a 5 bar</x:v>
      </x:c>
      <x:c r="B7" s="9" t="n">
        <x:v>640.38</x:v>
      </x:c>
      <x:c r="C7" s="1" t="str">
        <x:v>kJ/kg</x:v>
      </x:c>
      <x:c r="D7" s="1" t="str">
        <x:v>Agua: saturación</x:v>
      </x:c>
    </x:row>
    <x:row r="8" ht="21" customHeight="1">
      <x:c r="A8" s="1" t="str">
        <x:v>hfg a 5 bar</x:v>
      </x:c>
      <x:c r="B8" s="9" t="n">
        <x:v>2108.2</x:v>
      </x:c>
      <x:c r="C8" s="1" t="str">
        <x:v>kJ/kg</x:v>
      </x:c>
      <x:c r="D8" s="1" t="str">
        <x:v>Agua: saturación</x:v>
      </x:c>
    </x:row>
    <x:row r="9" ht="21" customHeight="1">
      <x:c r="A9" s="1" t="str">
        <x:v>hg a 5 bar</x:v>
      </x:c>
      <x:c r="B9" s="9" t="n">
        <x:v>2748.6</x:v>
      </x:c>
      <x:c r="C9" s="1" t="str">
        <x:v>kJ/kg</x:v>
      </x:c>
      <x:c r="D9" s="1" t="str">
        <x:v>Agua: saturación</x:v>
      </x:c>
    </x:row>
    <x:row r="10" ht="21" customHeight="1">
      <x:c r="A10" s="1" t="str">
        <x:v>hf a 0,1 bar</x:v>
      </x:c>
      <x:c r="B10" s="9" t="n">
        <x:v>191.83</x:v>
      </x:c>
      <x:c r="C10" s="1" t="str">
        <x:v>kJ/kg</x:v>
      </x:c>
      <x:c r="D10" s="1" t="str">
        <x:v>Agua: saturación</x:v>
      </x:c>
    </x:row>
    <x:row r="11" ht="21" customHeight="1">
      <x:c r="A11" s="1" t="str">
        <x:v>hfg a 0,1 bar</x:v>
      </x:c>
      <x:c r="B11" s="9" t="n">
        <x:v>2391.9</x:v>
      </x:c>
      <x:c r="C11" s="1" t="str">
        <x:v>kJ/kg</x:v>
      </x:c>
      <x:c r="D11" s="1" t="str">
        <x:v>Agua: saturación</x:v>
      </x:c>
    </x:row>
    <x:row r="12" ht="21" customHeight="1">
      <x:c r="A12" s="1" t="str">
        <x:v>Calidad del vapor x4</x:v>
      </x:c>
      <x:c r="B12" s="12" t="n">
        <x:v>0.9</x:v>
      </x:c>
      <x:c r="C12" s="1" t="str">
        <x:v>—</x:v>
      </x:c>
      <x:c r="D12" s="1" t="str">
        <x:v>1 − humedad del 10 %</x:v>
      </x:c>
    </x:row>
    <x:row r="13" ht="21" customHeight="1">
      <x:c r="A13" s="1" t="str">
        <x:v>h7: agua a 5 bar y 90 °C</x:v>
      </x:c>
      <x:c r="B13" s="9" t="n">
        <x:v>377.27</x:v>
      </x:c>
      <x:c r="C13" s="1" t="str">
        <x:v>kJ/kg</x:v>
      </x:c>
      <x:c r="D13" s="1" t="str">
        <x:v>Agua: líquido comprimido</x:v>
      </x:c>
    </x:row>
    <x:row r="14" ht="21" customHeight="1">
      <x:c r="A14" s="1" t="str">
        <x:v>Eficiencia de bomba</x:v>
      </x:c>
      <x:c r="B14" s="12" t="n">
        <x:v>0.9</x:v>
      </x:c>
      <x:c r="C14" s="1" t="str">
        <x:v>—</x:v>
      </x:c>
      <x:c r="D14" s="1" t="str">
        <x:v>Fotografía</x:v>
      </x:c>
    </x:row>
    <x:row r="15" ht="21" customHeight="1">
      <x:c r="A15" s="1" t="str">
        <x:v>Presión de entrada a turbina</x:v>
      </x:c>
      <x:c r="B15" s="9" t="n">
        <x:v>32.5</x:v>
      </x:c>
      <x:c r="C15" s="1" t="str">
        <x:v>bar</x:v>
      </x:c>
      <x:c r="D15" s="1" t="str">
        <x:v>Fotografía</x:v>
      </x:c>
    </x:row>
    <x:row r="16" ht="21" customHeight="1">
      <x:c r="A16" s="1" t="str">
        <x:v>Presión de condensador</x:v>
      </x:c>
      <x:c r="B16" s="9" t="n">
        <x:v>4</x:v>
      </x:c>
      <x:c r="C16" s="1" t="str">
        <x:v>bar</x:v>
      </x:c>
      <x:c r="D16" s="1" t="str">
        <x:v>Fotografía</x:v>
      </x:c>
    </x:row>
    <x:row r="17" ht="21" customHeight="1">
      <x:c r="A17" s="1" t="str">
        <x:v>Presión de salida de bomba</x:v>
      </x:c>
      <x:c r="B17" s="9" t="n">
        <x:v>32.5</x:v>
      </x:c>
      <x:c r="C17" s="1" t="str">
        <x:v>bar</x:v>
      </x:c>
      <x:c r="D17" s="1" t="str">
        <x:v>Sin pérdidas de presión</x:v>
      </x:c>
    </x:row>
    <x:row r="18" ht="21" customHeight="1">
      <x:c r="A18" s="1" t="str">
        <x:v>Entalpía de referencia h0</x:v>
      </x:c>
      <x:c r="B18" s="9" t="n">
        <x:v>104.83</x:v>
      </x:c>
      <x:c r="C18" s="1" t="str">
        <x:v>kJ/kg</x:v>
      </x:c>
      <x:c r="D18" s="1" t="str">
        <x:v>Agua a 25 °C</x:v>
      </x:c>
    </x:row>
    <x:row r="19" ht="21" customHeight="1">
      <x:c r="A19" s="1" t="str">
        <x:v>Ambiente de referencia</x:v>
      </x:c>
      <x:c r="B19" s="9" t="n">
        <x:v>25</x:v>
      </x:c>
      <x:c r="C19" s="1" t="str">
        <x:v>°C</x:v>
      </x:c>
      <x:c r="D19" s="1" t="str">
        <x:v>Supuesto declarado</x:v>
      </x:c>
    </x:row>
    <x:row r="20" ht="21" customHeight="1">
      <x:c r="A20" s="1"/>
      <x:c r="B20" s="9"/>
      <x:c r="C20" s="1"/>
      <x:c r="D20" s="1"/>
    </x:row>
    <x:row r="21" ht="27" customHeight="1">
      <x:c r="A21" s="4" t="str">
        <x:v>Interpolaciones de R600a</x:v>
      </x:c>
      <x:c r="B21" s="10"/>
      <x:c r="C21" s="4"/>
      <x:c r="D21" s="4"/>
    </x:row>
    <x:row r="22" ht="21" customHeight="1">
      <x:c r="A22" s="1" t="str">
        <x:v>Fracción de presión f8</x:v>
      </x:c>
      <x:c r="B22" s="9" t="n">
        <x:f>(B15-Entalpia!B51)/(Entalpia!B52-Entalpia!B51)</x:f>
        <x:v>0.600444773906597</x:v>
      </x:c>
      <x:c r="C22" s="1" t="str">
        <x:v>fracción</x:v>
      </x:c>
      <x:c r="D22" s="1" t="str">
        <x:v>Filas de 125 y 130 °C</x:v>
      </x:c>
    </x:row>
    <x:row r="23" ht="21" customHeight="1">
      <x:c r="A23" s="1" t="str">
        <x:v>Entalpía h8</x:v>
      </x:c>
      <x:c r="B23" s="9" t="n">
        <x:f>Entalpia!G51+B22*(Entalpia!F52-Entalpia!G51)</x:f>
        <x:v>754.3047064492217</x:v>
      </x:c>
      <x:c r="C23" s="1" t="str">
        <x:v>kJ/kg</x:v>
      </x:c>
      <x:c r="D23" s="1" t="str">
        <x:v>ΔT = 20 °C y 15 °C</x:v>
      </x:c>
    </x:row>
    <x:row r="24" ht="21" customHeight="1">
      <x:c r="A24" s="1" t="str">
        <x:v>Fracción de presión f9</x:v>
      </x:c>
      <x:c r="B24" s="9" t="n">
        <x:f>(B16-Saturacion!A31)/(Saturacion!A32-Saturacion!A31)</x:f>
        <x:v>0.9129629629629634</x:v>
      </x:c>
      <x:c r="C24" s="1" t="str">
        <x:v>fracción</x:v>
      </x:c>
      <x:c r="D24" s="1" t="str">
        <x:v>Filas de 25 y 30 °C</x:v>
      </x:c>
    </x:row>
    <x:row r="25" ht="21" customHeight="1">
      <x:c r="A25" s="1" t="str">
        <x:v>Entalpía h9</x:v>
      </x:c>
      <x:c r="B25" s="9" t="n">
        <x:f>Entalpia!N31+B24*(Entalpia!M32-Entalpia!N31)</x:f>
        <x:v>690.0612481481481</x:v>
      </x:c>
      <x:c r="C25" s="1" t="str">
        <x:v>kJ/kg</x:v>
      </x:c>
      <x:c r="D25" s="1" t="str">
        <x:v>ΔT = 55 °C y 50 °C</x:v>
      </x:c>
    </x:row>
    <x:row r="26" ht="21" customHeight="1">
      <x:c r="A26" s="1" t="str">
        <x:v>Entalpía h10</x:v>
      </x:c>
      <x:c r="B26" s="9" t="n">
        <x:f>Saturacion!E31+B24*(Saturacion!E32-Saturacion!E31)</x:f>
        <x:v>270.1738388888889</x:v>
      </x:c>
      <x:c r="C26" s="1" t="str">
        <x:v>kJ/kg</x:v>
      </x:c>
      <x:c r="D26" s="1" t="str">
        <x:v>Líquido saturado a 4 bar</x:v>
      </x:c>
    </x:row>
    <x:row r="27" ht="21" customHeight="1">
      <x:c r="A27" s="1" t="str">
        <x:v>Volumen líquido v10</x:v>
      </x:c>
      <x:c r="B27" s="11" t="n">
        <x:f>(Saturacion!C31+B24*(Saturacion!C32-Saturacion!C31))/1000</x:f>
        <x:v>0.0018351722222222221</x:v>
      </x:c>
      <x:c r="C27" s="1" t="str">
        <x:v>m³/kg</x:v>
      </x:c>
      <x:c r="D27" s="1" t="str">
        <x:v>Conversión dm³/kg a m³/kg</x:v>
      </x:c>
    </x:row>
    <x:row r="28" ht="21" customHeight="1">
      <x:c r="A28" s="1" t="str">
        <x:v>Temperatura T10</x:v>
      </x:c>
      <x:c r="B28" s="9" t="n">
        <x:f>Saturacion!B31+B24*(Saturacion!B32-Saturacion!B31)</x:f>
        <x:v>29.564814814814817</x:v>
      </x:c>
      <x:c r="C28" s="1" t="str">
        <x:v>°C</x:v>
      </x:c>
      <x:c r="D28" s="1" t="str">
        <x:v>Saturación a 4 bar</x:v>
      </x:c>
    </x:row>
    <x:row r="29" ht="21" customHeight="1">
      <x:c r="A29" s="1" t="str">
        <x:v>Trabajo específico de bomba</x:v>
      </x:c>
      <x:c r="B29" s="9" t="n">
        <x:f>B27*(B17-B16)*100/B14</x:f>
        <x:v>5.811378703703704</x:v>
      </x:c>
      <x:c r="C29" s="1" t="str">
        <x:v>kJ/kg</x:v>
      </x:c>
      <x:c r="D29" s="1" t="str">
        <x:v>wB = v10 Δp/ηB; 100 kPa/bar</x:v>
      </x:c>
    </x:row>
    <x:row r="30" ht="21" customHeight="1">
      <x:c r="A30" s="1" t="str">
        <x:v>Entalpía h11</x:v>
      </x:c>
      <x:c r="B30" s="9" t="n">
        <x:f>B26+B29</x:f>
        <x:v>275.9852175925926</x:v>
      </x:c>
      <x:c r="C30" s="1" t="str">
        <x:v>kJ/kg</x:v>
      </x:c>
      <x:c r="D30" s="1" t="str">
        <x:v>Líquido incompresible</x:v>
      </x:c>
    </x:row>
    <x:row r="31" ht="21" customHeight="1">
      <x:c r="A31" s="1"/>
      <x:c r="B31" s="9"/>
      <x:c r="C31" s="1"/>
      <x:c r="D31" s="1"/>
    </x:row>
    <x:row r="32" ht="27" customHeight="1">
      <x:c r="A32" s="4" t="str">
        <x:v>Balances y resultados</x:v>
      </x:c>
      <x:c r="B32" s="10"/>
      <x:c r="C32" s="4"/>
      <x:c r="D32" s="4"/>
    </x:row>
    <x:row r="33" ht="21" customHeight="1">
      <x:c r="A33" s="1" t="str">
        <x:v>Fracción de vapor flash x2</x:v>
      </x:c>
      <x:c r="B33" s="12" t="n">
        <x:f>(B6-B7)/B8</x:f>
        <x:v>0.16583815577269712</x:v>
      </x:c>
      <x:c r="C33" s="1" t="str">
        <x:v>—</x:v>
      </x:c>
      <x:c r="D33" s="1" t="str">
        <x:v>h2 = h1</x:v>
      </x:c>
    </x:row>
    <x:row r="34" ht="21" customHeight="1">
      <x:c r="A34" s="1" t="str">
        <x:v>Caudal de vapor</x:v>
      </x:c>
      <x:c r="B34" s="9" t="n">
        <x:f>B5*B33</x:f>
        <x:v>38.142775827720335</x:v>
      </x:c>
      <x:c r="C34" s="1" t="str">
        <x:v>kg/s</x:v>
      </x:c>
      <x:c r="D34" s="1" t="str">
        <x:v>m vapor = m geotérmico × x2</x:v>
      </x:c>
    </x:row>
    <x:row r="35" ht="21" customHeight="1">
      <x:c r="A35" s="1" t="str">
        <x:v>Caudal de salmuera</x:v>
      </x:c>
      <x:c r="B35" s="9" t="n">
        <x:f>B5-B34</x:f>
        <x:v>191.85722417227967</x:v>
      </x:c>
      <x:c r="C35" s="1" t="str">
        <x:v>kg/s</x:v>
      </x:c>
      <x:c r="D35" s="1" t="str">
        <x:v>Balance de masa</x:v>
      </x:c>
    </x:row>
    <x:row r="36" ht="21" customHeight="1">
      <x:c r="A36" s="1" t="str">
        <x:v>Entalpía h4</x:v>
      </x:c>
      <x:c r="B36" s="9" t="n">
        <x:f>B10+B12*B11</x:f>
        <x:v>2344.54</x:v>
      </x:c>
      <x:c r="C36" s="1" t="str">
        <x:v>kJ/kg</x:v>
      </x:c>
      <x:c r="D36" s="1" t="str">
        <x:v>h = hf + x hfg</x:v>
      </x:c>
    </x:row>
    <x:row r="37" ht="21" customHeight="1">
      <x:c r="A37" s="1" t="str">
        <x:v>Calor al ciclo binario</x:v>
      </x:c>
      <x:c r="B37" s="9" t="n">
        <x:f>B35*(B7-B13)</x:f>
        <x:v>50479.554251968504</x:v>
      </x:c>
      <x:c r="C37" s="1" t="str">
        <x:v>kW</x:v>
      </x:c>
      <x:c r="D37" s="1" t="str">
        <x:v>QHX = m salmuera (h6 − h7)</x:v>
      </x:c>
    </x:row>
    <x:row r="38" ht="25" customHeight="1">
      <x:c r="A38" s="15" t="str">
        <x:v>Caudal de isobutano</x:v>
      </x:c>
      <x:c r="B38" s="16" t="n">
        <x:f>B37/(B23-B30)</x:f>
        <x:v>105.5352236904133</x:v>
      </x:c>
      <x:c r="C38" s="15" t="str">
        <x:v>kg/s</x:v>
      </x:c>
      <x:c r="D38" s="15" t="str">
        <x:v>m iso = QHX/(h8 − h11)</x:v>
      </x:c>
    </x:row>
    <x:row r="39" ht="25" customHeight="1">
      <x:c r="A39" s="15" t="str">
        <x:v>Potencia flash</x:v>
      </x:c>
      <x:c r="B39" s="16" t="n">
        <x:f>B34*(B9-B36)</x:f>
        <x:v>15411.970000948677</x:v>
      </x:c>
      <x:c r="C39" s="15" t="str">
        <x:v>kW</x:v>
      </x:c>
      <x:c r="D39" s="15" t="str">
        <x:v>W flash = m vapor (h3 − h4)</x:v>
      </x:c>
    </x:row>
    <x:row r="40" ht="21" customHeight="1">
      <x:c r="A40" s="1" t="str">
        <x:v>Potencia de turbina binaria</x:v>
      </x:c>
      <x:c r="B40" s="9" t="n">
        <x:f>B38*(B23-B25)</x:f>
        <x:v>6779.947742449541</x:v>
      </x:c>
      <x:c r="C40" s="1" t="str">
        <x:v>kW</x:v>
      </x:c>
      <x:c r="D40" s="1" t="str">
        <x:v>WT = m iso (h8 − h9)</x:v>
      </x:c>
    </x:row>
    <x:row r="41" ht="21" customHeight="1">
      <x:c r="A41" s="1" t="str">
        <x:v>Consumo de bomba</x:v>
      </x:c>
      <x:c r="B41" s="9" t="n">
        <x:f>B38*B29</x:f>
        <x:v>613.3051514450744</x:v>
      </x:c>
      <x:c r="C41" s="1" t="str">
        <x:v>kW</x:v>
      </x:c>
      <x:c r="D41" s="1" t="str">
        <x:v>WB = m iso × wB</x:v>
      </x:c>
    </x:row>
    <x:row r="42" ht="25" customHeight="1">
      <x:c r="A42" s="15" t="str">
        <x:v>Potencia neta binaria</x:v>
      </x:c>
      <x:c r="B42" s="16" t="n">
        <x:f>B40-B41</x:f>
        <x:v>6166.642591004466</x:v>
      </x:c>
      <x:c r="C42" s="15" t="str">
        <x:v>kW</x:v>
      </x:c>
      <x:c r="D42" s="15" t="str">
        <x:v>W bin = WT − WB</x:v>
      </x:c>
    </x:row>
    <x:row r="43" ht="25" customHeight="1">
      <x:c r="A43" s="15" t="str">
        <x:v>Potencia neta total</x:v>
      </x:c>
      <x:c r="B43" s="16" t="n">
        <x:f>B39+B42</x:f>
        <x:v>21578.612591953144</x:v>
      </x:c>
      <x:c r="C43" s="15" t="str">
        <x:v>kW</x:v>
      </x:c>
      <x:c r="D43" s="15" t="str">
        <x:v>W total = W flash + W bin</x:v>
      </x:c>
    </x:row>
    <x:row r="44" ht="25" customHeight="1">
      <x:c r="A44" s="15" t="str">
        <x:v>Eficiencia térmica binaria</x:v>
      </x:c>
      <x:c r="B44" s="18" t="n">
        <x:f>B42/B37</x:f>
        <x:v>0.12216119342543504</x:v>
      </x:c>
      <x:c r="C44" s="15" t="str">
        <x:v>—</x:v>
      </x:c>
      <x:c r="D44" s="15" t="str">
        <x:v>η bin = W bin/QHX</x:v>
      </x:c>
    </x:row>
    <x:row r="45" ht="21" customHeight="1">
      <x:c r="A45" s="1" t="str">
        <x:v>Energía geotérmica de referencia</x:v>
      </x:c>
      <x:c r="B45" s="9" t="n">
        <x:f>B5*(B6-B18)</x:f>
        <x:v>203589.09999999998</x:v>
      </x:c>
      <x:c r="C45" s="1" t="str">
        <x:v>kW</x:v>
      </x:c>
      <x:c r="D45" s="1" t="str">
        <x:v>E geo = m geo (h1 − h0)</x:v>
      </x:c>
    </x:row>
    <x:row r="46" ht="25" customHeight="1">
      <x:c r="A46" s="15" t="str">
        <x:v>Eficiencia de planta combinada</x:v>
      </x:c>
      <x:c r="B46" s="18" t="n">
        <x:f>B43/B45</x:f>
        <x:v>0.10599100144336385</x:v>
      </x:c>
      <x:c r="C46" s="15" t="str">
        <x:v>—</x:v>
      </x:c>
      <x:c r="D46" s="15" t="str">
        <x:v>η comb = W total/E geo</x:v>
      </x:c>
    </x:row>
    <x:row r="47" ht="21" customHeight="1">
      <x:c r="A47" s="1" t="str">
        <x:v>Calor rechazado por vapor</x:v>
      </x:c>
      <x:c r="B47" s="9" t="n">
        <x:f>B34*(B36-B10)</x:f>
        <x:v>82110.33495209184</x:v>
      </x:c>
      <x:c r="C47" s="1" t="str">
        <x:v>kW</x:v>
      </x:c>
      <x:c r="D47" s="1" t="str">
        <x:v>QC vapor = m vapor (h4 − h5)</x:v>
      </x:c>
    </x:row>
    <x:row r="48" ht="21" customHeight="1">
      <x:c r="A48" s="1" t="str">
        <x:v>Calor rechazado por isobutano</x:v>
      </x:c>
      <x:c r="B48" s="9" t="n">
        <x:f>B38*(B25-B26)</x:f>
        <x:v>44312.91166096404</x:v>
      </x:c>
      <x:c r="C48" s="1" t="str">
        <x:v>kW</x:v>
      </x:c>
      <x:c r="D48" s="1" t="str">
        <x:v>QC iso = m iso (h9 − h10)</x:v>
      </x:c>
    </x:row>
    <x:row r="49" ht="21" customHeight="1">
      <x:c r="A49" s="1" t="str">
        <x:v>Energía retirada del recurso</x:v>
      </x:c>
      <x:c r="B49" s="9" t="n">
        <x:f>B34*(B9-B10)+B37</x:f>
        <x:v>148001.85920500904</x:v>
      </x:c>
      <x:c r="C49" s="1" t="str">
        <x:v>kW</x:v>
      </x:c>
      <x:c r="D49" s="1" t="str">
        <x:v>Q ret = Q flash + QHX</x:v>
      </x:c>
    </x:row>
    <x:row r="50" ht="21" customHeight="1">
      <x:c r="A50" s="1" t="str">
        <x:v>Eficiencia con base Q retirada</x:v>
      </x:c>
      <x:c r="B50" s="12" t="n">
        <x:f>B43/B49</x:f>
        <x:v>0.14579960486890173</x:v>
      </x:c>
      <x:c r="C50" s="1" t="str">
        <x:v>—</x:v>
      </x:c>
      <x:c r="D50" s="1" t="str">
        <x:v>Denominador distinto al ambiente</x:v>
      </x:c>
    </x:row>
    <x:row r="51" ht="21" customHeight="1">
      <x:c r="A51" s="1" t="str">
        <x:v>Cierre del balance de energía</x:v>
      </x:c>
      <x:c r="B51" s="9" t="n">
        <x:f>B49-B43-B47-B48</x:f>
        <x:v>7.275957614183426e-12</x:v>
      </x:c>
      <x:c r="C51" s="1" t="str">
        <x:v>kW</x:v>
      </x:c>
      <x:c r="D51" s="1" t="str">
        <x:v>Q ret − W total − QC vapor − QC iso</x:v>
      </x:c>
    </x:row>
    <x:row r="52" ht="21" customHeight="1">
      <x:c r="A52" s="1"/>
      <x:c r="B52" s="1"/>
      <x:c r="C52" s="1"/>
      <x:c r="D52" s="1"/>
    </x:row>
    <x:row r="53" ht="34" customHeight="1">
      <x:c r="A53" s="7" t="str">
        <x:v>Estado 11: estas tablas no determinan T ni s del líquido comprimido. Solo se calcula h11 con la aproximación de bomba.</x:v>
      </x:c>
      <x:c r="B53" s="7"/>
      <x:c r="C53" s="7"/>
      <x:c r="D53" s="7"/>
    </x:row>
  </x:sheetData>
  <x:mergeCells>
    <x:mergeCell ref="A1:D1"/>
    <x:mergeCell ref="A2:D2"/>
    <x:mergeCell ref="A3:D3"/>
    <x:mergeCell ref="A21:D21"/>
    <x:mergeCell ref="A32:D32"/>
    <x:mergeCell ref="A53:D5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6A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3" t="str">
        <x:v>R600a · Saturacion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Fuente: tablas.pdf, página 1. Auditoría en GitHub: data/r600a/cell_audit.json.</x:v>
      </x:c>
      <x:c r="B2" s="7"/>
      <x:c r="C2" s="7"/>
      <x:c r="D2" s="7"/>
      <x:c r="E2" s="7"/>
      <x:c r="F2" s="7"/>
      <x:c r="G2" s="7"/>
      <x:c r="H2" s="7"/>
      <x:c r="I2" s="7"/>
      <x:c r="J2" s="1"/>
      <x:c r="K2" s="1"/>
      <x:c r="L2" s="1"/>
    </x:row>
    <x:row r="3" ht="34" customHeight="1">
      <x:c r="A3" s="7" t="str">
        <x:v>Presión absoluta. Volumen líquido en dm³/kg y volumen de vapor en m³/kg.</x:v>
      </x:c>
      <x:c r="B3" s="7"/>
      <x:c r="C3" s="7"/>
      <x:c r="D3" s="7"/>
      <x:c r="E3" s="7"/>
      <x:c r="F3" s="7"/>
      <x:c r="G3" s="7"/>
      <x:c r="H3" s="7"/>
      <x:c r="I3" s="7"/>
      <x:c r="J3" s="1"/>
      <x:c r="K3" s="1"/>
      <x:c r="L3" s="1"/>
    </x:row>
    <x:row r="4" ht="36" customHeight="1">
      <x:c r="A4" s="5" t="str">
        <x:v>P (bar)</x:v>
      </x:c>
      <x:c r="B4" s="5" t="str">
        <x:v>T burbuja (°C)</x:v>
      </x:c>
      <x:c r="C4" s="5" t="str">
        <x:v>v líquido (dm³/kg)</x:v>
      </x:c>
      <x:c r="D4" s="5" t="str">
        <x:v>ρ líquido (kg/dm³)</x:v>
      </x:c>
      <x:c r="E4" s="5" t="str">
        <x:v>h líquido (kJ/kg)</x:v>
      </x:c>
      <x:c r="F4" s="5" t="str">
        <x:v>s líquido (kJ/kg K)</x:v>
      </x:c>
      <x:c r="G4" s="5" t="str">
        <x:v>T rocío (°C)</x:v>
      </x:c>
      <x:c r="H4" s="5" t="str">
        <x:v>v vapor (m³/kg)</x:v>
      </x:c>
      <x:c r="I4" s="5" t="str">
        <x:v>ρ vapor (kg/m³)</x:v>
      </x:c>
      <x:c r="J4" s="5" t="str">
        <x:v>h vapor (kJ/kg)</x:v>
      </x:c>
      <x:c r="K4" s="5" t="str">
        <x:v>s vapor (kJ/kg K)</x:v>
      </x:c>
      <x:c r="L4" s="5" t="str">
        <x:v>h fg (kJ/kg)</x:v>
      </x:c>
    </x:row>
    <x:row r="5" ht="21" customHeight="1">
      <x:c r="A5" s="8" t="n">
        <x:v>0.004</x:v>
      </x:c>
      <x:c r="B5" s="8" t="n">
        <x:v>-100</x:v>
      </x:c>
      <x:c r="C5" s="8" t="n">
        <x:v>1.462</x:v>
      </x:c>
      <x:c r="D5" s="8" t="n">
        <x:v>0.684</x:v>
      </x:c>
      <x:c r="E5" s="8" t="n">
        <x:v>-6.395</x:v>
      </x:c>
      <x:c r="F5" s="8" t="n">
        <x:v>0.067</x:v>
      </x:c>
      <x:c r="G5" s="8" t="n">
        <x:v>-100</x:v>
      </x:c>
      <x:c r="H5" s="8" t="n">
        <x:v>65.234</x:v>
      </x:c>
      <x:c r="I5" s="8" t="n">
        <x:v>0.015</x:v>
      </x:c>
      <x:c r="J5" s="8" t="n">
        <x:v>428.19</x:v>
      </x:c>
      <x:c r="K5" s="8" t="n">
        <x:v>2.577</x:v>
      </x:c>
      <x:c r="L5" s="8" t="n">
        <x:v>434.585</x:v>
      </x:c>
    </x:row>
    <x:row r="6" ht="21" customHeight="1">
      <x:c r="A6" s="8" t="n">
        <x:v>0.006</x:v>
      </x:c>
      <x:c r="B6" s="8" t="n">
        <x:v>-95</x:v>
      </x:c>
      <x:c r="C6" s="8" t="n">
        <x:v>1.473</x:v>
      </x:c>
      <x:c r="D6" s="8" t="n">
        <x:v>0.679</x:v>
      </x:c>
      <x:c r="E6" s="8" t="n">
        <x:v>3.036</x:v>
      </x:c>
      <x:c r="F6" s="8" t="n">
        <x:v>0.121</x:v>
      </x:c>
      <x:c r="G6" s="8" t="n">
        <x:v>-95</x:v>
      </x:c>
      <x:c r="H6" s="8" t="n">
        <x:v>41.078</x:v>
      </x:c>
      <x:c r="I6" s="8" t="n">
        <x:v>0.024</x:v>
      </x:c>
      <x:c r="J6" s="8" t="n">
        <x:v>433.861</x:v>
      </x:c>
      <x:c r="K6" s="8" t="n">
        <x:v>2.539</x:v>
      </x:c>
      <x:c r="L6" s="8" t="n">
        <x:v>430.825</x:v>
      </x:c>
    </x:row>
    <x:row r="7" ht="21" customHeight="1">
      <x:c r="A7" s="8" t="n">
        <x:v>0.01</x:v>
      </x:c>
      <x:c r="B7" s="8" t="n">
        <x:v>-90</x:v>
      </x:c>
      <x:c r="C7" s="8" t="n">
        <x:v>1.483</x:v>
      </x:c>
      <x:c r="D7" s="8" t="n">
        <x:v>0.674</x:v>
      </x:c>
      <x:c r="E7" s="8" t="n">
        <x:v>12.549</x:v>
      </x:c>
      <x:c r="F7" s="8" t="n">
        <x:v>0.173</x:v>
      </x:c>
      <x:c r="G7" s="8" t="n">
        <x:v>-90</x:v>
      </x:c>
      <x:c r="H7" s="8" t="n">
        <x:v>26.648</x:v>
      </x:c>
      <x:c r="I7" s="8" t="n">
        <x:v>0.038</x:v>
      </x:c>
      <x:c r="J7" s="8" t="n">
        <x:v>439.62</x:v>
      </x:c>
      <x:c r="K7" s="8" t="n">
        <x:v>2.505</x:v>
      </x:c>
      <x:c r="L7" s="8" t="n">
        <x:v>427.072</x:v>
      </x:c>
    </x:row>
    <x:row r="8" ht="21" customHeight="1">
      <x:c r="A8" s="8" t="n">
        <x:v>0.015</x:v>
      </x:c>
      <x:c r="B8" s="8" t="n">
        <x:v>-85</x:v>
      </x:c>
      <x:c r="C8" s="8" t="n">
        <x:v>1.494</x:v>
      </x:c>
      <x:c r="D8" s="8" t="n">
        <x:v>0.669</x:v>
      </x:c>
      <x:c r="E8" s="8" t="n">
        <x:v>22.144</x:v>
      </x:c>
      <x:c r="F8" s="8" t="n">
        <x:v>0.225</x:v>
      </x:c>
      <x:c r="G8" s="8" t="n">
        <x:v>-85</x:v>
      </x:c>
      <x:c r="H8" s="8" t="n">
        <x:v>17.764</x:v>
      </x:c>
      <x:c r="I8" s="8" t="n">
        <x:v>0.056</x:v>
      </x:c>
      <x:c r="J8" s="8" t="n">
        <x:v>445.465</x:v>
      </x:c>
      <x:c r="K8" s="8" t="n">
        <x:v>2.475</x:v>
      </x:c>
      <x:c r="L8" s="8" t="n">
        <x:v>423.321</x:v>
      </x:c>
    </x:row>
    <x:row r="9" ht="21" customHeight="1">
      <x:c r="A9" s="8" t="n">
        <x:v>0.023</x:v>
      </x:c>
      <x:c r="B9" s="8" t="n">
        <x:v>-80</x:v>
      </x:c>
      <x:c r="C9" s="8" t="n">
        <x:v>1.505</x:v>
      </x:c>
      <x:c r="D9" s="8" t="n">
        <x:v>0.664</x:v>
      </x:c>
      <x:c r="E9" s="8" t="n">
        <x:v>31.823</x:v>
      </x:c>
      <x:c r="F9" s="8" t="n">
        <x:v>0.276</x:v>
      </x:c>
      <x:c r="G9" s="8" t="n">
        <x:v>-80</x:v>
      </x:c>
      <x:c r="H9" s="8" t="n">
        <x:v>12.14</x:v>
      </x:c>
      <x:c r="I9" s="8" t="n">
        <x:v>0.082</x:v>
      </x:c>
      <x:c r="J9" s="8" t="n">
        <x:v>451.392</x:v>
      </x:c>
      <x:c r="K9" s="8" t="n">
        <x:v>2.448</x:v>
      </x:c>
      <x:c r="L9" s="8" t="n">
        <x:v>419.569</x:v>
      </x:c>
    </x:row>
    <x:row r="10" ht="21" customHeight="1">
      <x:c r="A10" s="8" t="n">
        <x:v>0.033</x:v>
      </x:c>
      <x:c r="B10" s="8" t="n">
        <x:v>-75</x:v>
      </x:c>
      <x:c r="C10" s="8" t="n">
        <x:v>1.516</x:v>
      </x:c>
      <x:c r="D10" s="8" t="n">
        <x:v>0.66</x:v>
      </x:c>
      <x:c r="E10" s="8" t="n">
        <x:v>41.587</x:v>
      </x:c>
      <x:c r="F10" s="8" t="n">
        <x:v>0.326</x:v>
      </x:c>
      <x:c r="G10" s="8" t="n">
        <x:v>-75</x:v>
      </x:c>
      <x:c r="H10" s="8" t="n">
        <x:v>8.487</x:v>
      </x:c>
      <x:c r="I10" s="8" t="n">
        <x:v>0.118</x:v>
      </x:c>
      <x:c r="J10" s="8" t="n">
        <x:v>457.397</x:v>
      </x:c>
      <x:c r="K10" s="8" t="n">
        <x:v>2.424</x:v>
      </x:c>
      <x:c r="L10" s="8" t="n">
        <x:v>415.81</x:v>
      </x:c>
    </x:row>
    <x:row r="11" ht="21" customHeight="1">
      <x:c r="A11" s="8" t="n">
        <x:v>0.048</x:v>
      </x:c>
      <x:c r="B11" s="8" t="n">
        <x:v>-70</x:v>
      </x:c>
      <x:c r="C11" s="8" t="n">
        <x:v>1.528</x:v>
      </x:c>
      <x:c r="D11" s="8" t="n">
        <x:v>0.655</x:v>
      </x:c>
      <x:c r="E11" s="8" t="n">
        <x:v>51.439</x:v>
      </x:c>
      <x:c r="F11" s="8" t="n">
        <x:v>0.375</x:v>
      </x:c>
      <x:c r="G11" s="8" t="n">
        <x:v>-70</x:v>
      </x:c>
      <x:c r="H11" s="8" t="n">
        <x:v>6.059</x:v>
      </x:c>
      <x:c r="I11" s="8" t="n">
        <x:v>0.165</x:v>
      </x:c>
      <x:c r="J11" s="8" t="n">
        <x:v>463.479</x:v>
      </x:c>
      <x:c r="K11" s="8" t="n">
        <x:v>2.403</x:v>
      </x:c>
      <x:c r="L11" s="8" t="n">
        <x:v>412.04</x:v>
      </x:c>
    </x:row>
    <x:row r="12" ht="21" customHeight="1">
      <x:c r="A12" s="8" t="n">
        <x:v>0.067</x:v>
      </x:c>
      <x:c r="B12" s="8" t="n">
        <x:v>-65</x:v>
      </x:c>
      <x:c r="C12" s="8" t="n">
        <x:v>1.539</x:v>
      </x:c>
      <x:c r="D12" s="8" t="n">
        <x:v>0.65</x:v>
      </x:c>
      <x:c r="E12" s="8" t="n">
        <x:v>61.38</x:v>
      </x:c>
      <x:c r="F12" s="8" t="n">
        <x:v>0.423</x:v>
      </x:c>
      <x:c r="G12" s="8" t="n">
        <x:v>-65</x:v>
      </x:c>
      <x:c r="H12" s="8" t="n">
        <x:v>4.41</x:v>
      </x:c>
      <x:c r="I12" s="8" t="n">
        <x:v>0.227</x:v>
      </x:c>
      <x:c r="J12" s="8" t="n">
        <x:v>469.633</x:v>
      </x:c>
      <x:c r="K12" s="8" t="n">
        <x:v>2.385</x:v>
      </x:c>
      <x:c r="L12" s="8" t="n">
        <x:v>408.253</x:v>
      </x:c>
    </x:row>
    <x:row r="13" ht="21" customHeight="1">
      <x:c r="A13" s="8" t="n">
        <x:v>0.093</x:v>
      </x:c>
      <x:c r="B13" s="8" t="n">
        <x:v>-60</x:v>
      </x:c>
      <x:c r="C13" s="8" t="n">
        <x:v>1.551</x:v>
      </x:c>
      <x:c r="D13" s="8" t="n">
        <x:v>0.645</x:v>
      </x:c>
      <x:c r="E13" s="8" t="n">
        <x:v>71.413</x:v>
      </x:c>
      <x:c r="F13" s="8" t="n">
        <x:v>0.471</x:v>
      </x:c>
      <x:c r="G13" s="8" t="n">
        <x:v>-60</x:v>
      </x:c>
      <x:c r="H13" s="8" t="n">
        <x:v>3.266</x:v>
      </x:c>
      <x:c r="I13" s="8" t="n">
        <x:v>0.306</x:v>
      </x:c>
      <x:c r="J13" s="8" t="n">
        <x:v>475.855</x:v>
      </x:c>
      <x:c r="K13" s="8" t="n">
        <x:v>2.368</x:v>
      </x:c>
      <x:c r="L13" s="8" t="n">
        <x:v>404.442</x:v>
      </x:c>
    </x:row>
    <x:row r="14" ht="21" customHeight="1">
      <x:c r="A14" s="8" t="n">
        <x:v>0.126</x:v>
      </x:c>
      <x:c r="B14" s="8" t="n">
        <x:v>-55</x:v>
      </x:c>
      <x:c r="C14" s="8" t="n">
        <x:v>1.564</x:v>
      </x:c>
      <x:c r="D14" s="8" t="n">
        <x:v>0.64</x:v>
      </x:c>
      <x:c r="E14" s="8" t="n">
        <x:v>81.54</x:v>
      </x:c>
      <x:c r="F14" s="8" t="n">
        <x:v>0.518</x:v>
      </x:c>
      <x:c r="G14" s="8" t="n">
        <x:v>-55</x:v>
      </x:c>
      <x:c r="H14" s="8" t="n">
        <x:v>2.459</x:v>
      </x:c>
      <x:c r="I14" s="8" t="n">
        <x:v>0.407</x:v>
      </x:c>
      <x:c r="J14" s="8" t="n">
        <x:v>482.142</x:v>
      </x:c>
      <x:c r="K14" s="8" t="n">
        <x:v>2.354</x:v>
      </x:c>
      <x:c r="L14" s="8" t="n">
        <x:v>400.602</x:v>
      </x:c>
    </x:row>
    <x:row r="15" ht="21" customHeight="1">
      <x:c r="A15" s="8" t="n">
        <x:v>0.168</x:v>
      </x:c>
      <x:c r="B15" s="8" t="n">
        <x:v>-50</x:v>
      </x:c>
      <x:c r="C15" s="8" t="n">
        <x:v>1.576</x:v>
      </x:c>
      <x:c r="D15" s="8" t="n">
        <x:v>0.634</x:v>
      </x:c>
      <x:c r="E15" s="8" t="n">
        <x:v>91.764</x:v>
      </x:c>
      <x:c r="F15" s="8" t="n">
        <x:v>0.564</x:v>
      </x:c>
      <x:c r="G15" s="8" t="n">
        <x:v>-50</x:v>
      </x:c>
      <x:c r="H15" s="8" t="n">
        <x:v>1.879</x:v>
      </x:c>
      <x:c r="I15" s="8" t="n">
        <x:v>0.532</x:v>
      </x:c>
      <x:c r="J15" s="8" t="n">
        <x:v>488.489</x:v>
      </x:c>
      <x:c r="K15" s="8" t="n">
        <x:v>2.342</x:v>
      </x:c>
      <x:c r="L15" s="8" t="n">
        <x:v>396.726</x:v>
      </x:c>
    </x:row>
    <x:row r="16" ht="21" customHeight="1">
      <x:c r="A16" s="8" t="n">
        <x:v>0.221</x:v>
      </x:c>
      <x:c r="B16" s="8" t="n">
        <x:v>-45</x:v>
      </x:c>
      <x:c r="C16" s="8" t="n">
        <x:v>1.589</x:v>
      </x:c>
      <x:c r="D16" s="8" t="n">
        <x:v>0.629</x:v>
      </x:c>
      <x:c r="E16" s="8" t="n">
        <x:v>102.086</x:v>
      </x:c>
      <x:c r="F16" s="8" t="n">
        <x:v>0.61</x:v>
      </x:c>
      <x:c r="G16" s="8" t="n">
        <x:v>-45</x:v>
      </x:c>
      <x:c r="H16" s="8" t="n">
        <x:v>1.456</x:v>
      </x:c>
      <x:c r="I16" s="8" t="n">
        <x:v>0.687</x:v>
      </x:c>
      <x:c r="J16" s="8" t="n">
        <x:v>494.893</x:v>
      </x:c>
      <x:c r="K16" s="8" t="n">
        <x:v>2.331</x:v>
      </x:c>
      <x:c r="L16" s="8" t="n">
        <x:v>392.807</x:v>
      </x:c>
    </x:row>
    <x:row r="17" ht="21" customHeight="1">
      <x:c r="A17" s="8" t="n">
        <x:v>0.287</x:v>
      </x:c>
      <x:c r="B17" s="8" t="n">
        <x:v>-40</x:v>
      </x:c>
      <x:c r="C17" s="8" t="n">
        <x:v>1.602</x:v>
      </x:c>
      <x:c r="D17" s="8" t="n">
        <x:v>0.624</x:v>
      </x:c>
      <x:c r="E17" s="8" t="n">
        <x:v>112.512</x:v>
      </x:c>
      <x:c r="F17" s="8" t="n">
        <x:v>0.655</x:v>
      </x:c>
      <x:c r="G17" s="8" t="n">
        <x:v>-40</x:v>
      </x:c>
      <x:c r="H17" s="8" t="n">
        <x:v>1.143</x:v>
      </x:c>
      <x:c r="I17" s="8" t="n">
        <x:v>0.875</x:v>
      </x:c>
      <x:c r="J17" s="8" t="n">
        <x:v>501.349</x:v>
      </x:c>
      <x:c r="K17" s="8" t="n">
        <x:v>2.323</x:v>
      </x:c>
      <x:c r="L17" s="8" t="n">
        <x:v>388.837</x:v>
      </x:c>
    </x:row>
    <x:row r="18" ht="21" customHeight="1">
      <x:c r="A18" s="8" t="n">
        <x:v>0.368</x:v>
      </x:c>
      <x:c r="B18" s="8" t="n">
        <x:v>-35</x:v>
      </x:c>
      <x:c r="C18" s="8" t="n">
        <x:v>1.616</x:v>
      </x:c>
      <x:c r="D18" s="8" t="n">
        <x:v>0.619</x:v>
      </x:c>
      <x:c r="E18" s="8" t="n">
        <x:v>123.042</x:v>
      </x:c>
      <x:c r="F18" s="8" t="n">
        <x:v>0.7</x:v>
      </x:c>
      <x:c r="G18" s="8" t="n">
        <x:v>-35</x:v>
      </x:c>
      <x:c r="H18" s="8" t="n">
        <x:v>0.907</x:v>
      </x:c>
      <x:c r="I18" s="8" t="n">
        <x:v>1.102</x:v>
      </x:c>
      <x:c r="J18" s="8" t="n">
        <x:v>507.853</x:v>
      </x:c>
      <x:c r="K18" s="8" t="n">
        <x:v>2.315</x:v>
      </x:c>
      <x:c r="L18" s="8" t="n">
        <x:v>384.811</x:v>
      </x:c>
    </x:row>
    <x:row r="19" ht="21" customHeight="1">
      <x:c r="A19" s="8" t="n">
        <x:v>0.466</x:v>
      </x:c>
      <x:c r="B19" s="8" t="n">
        <x:v>-30</x:v>
      </x:c>
      <x:c r="C19" s="8" t="n">
        <x:v>1.63</x:v>
      </x:c>
      <x:c r="D19" s="8" t="n">
        <x:v>0.614</x:v>
      </x:c>
      <x:c r="E19" s="8" t="n">
        <x:v>133.682</x:v>
      </x:c>
      <x:c r="F19" s="8" t="n">
        <x:v>0.744</x:v>
      </x:c>
      <x:c r="G19" s="8" t="n">
        <x:v>-30</x:v>
      </x:c>
      <x:c r="H19" s="8" t="n">
        <x:v>0.728</x:v>
      </x:c>
      <x:c r="I19" s="8" t="n">
        <x:v>1.373</x:v>
      </x:c>
      <x:c r="J19" s="8" t="n">
        <x:v>514.4</x:v>
      </x:c>
      <x:c r="K19" s="8" t="n">
        <x:v>2.309</x:v>
      </x:c>
      <x:c r="L19" s="8" t="n">
        <x:v>380.719</x:v>
      </x:c>
    </x:row>
    <x:row r="20" ht="21" customHeight="1">
      <x:c r="A20" s="8" t="n">
        <x:v>0.584</x:v>
      </x:c>
      <x:c r="B20" s="8" t="n">
        <x:v>-25</x:v>
      </x:c>
      <x:c r="C20" s="8" t="n">
        <x:v>1.644</x:v>
      </x:c>
      <x:c r="D20" s="8" t="n">
        <x:v>0.608</x:v>
      </x:c>
      <x:c r="E20" s="8" t="n">
        <x:v>144.433</x:v>
      </x:c>
      <x:c r="F20" s="8" t="n">
        <x:v>0.787</x:v>
      </x:c>
      <x:c r="G20" s="8" t="n">
        <x:v>-25</x:v>
      </x:c>
      <x:c r="H20" s="8" t="n">
        <x:v>0.591</x:v>
      </x:c>
      <x:c r="I20" s="8" t="n">
        <x:v>1.693</x:v>
      </x:c>
      <x:c r="J20" s="8" t="n">
        <x:v>520.987</x:v>
      </x:c>
      <x:c r="K20" s="8" t="n">
        <x:v>2.305</x:v>
      </x:c>
      <x:c r="L20" s="8" t="n">
        <x:v>376.554</x:v>
      </x:c>
    </x:row>
    <x:row r="21" ht="21" customHeight="1">
      <x:c r="A21" s="8" t="n">
        <x:v>0.725</x:v>
      </x:c>
      <x:c r="B21" s="8" t="n">
        <x:v>-20</x:v>
      </x:c>
      <x:c r="C21" s="8" t="n">
        <x:v>1.659</x:v>
      </x:c>
      <x:c r="D21" s="8" t="n">
        <x:v>0.603</x:v>
      </x:c>
      <x:c r="E21" s="8" t="n">
        <x:v>155.3</x:v>
      </x:c>
      <x:c r="F21" s="8" t="n">
        <x:v>0.831</x:v>
      </x:c>
      <x:c r="G21" s="8" t="n">
        <x:v>-20</x:v>
      </x:c>
      <x:c r="H21" s="8" t="n">
        <x:v>0.483</x:v>
      </x:c>
      <x:c r="I21" s="8" t="n">
        <x:v>2.069</x:v>
      </x:c>
      <x:c r="J21" s="8" t="n">
        <x:v>527.607</x:v>
      </x:c>
      <x:c r="K21" s="8" t="n">
        <x:v>2.301</x:v>
      </x:c>
      <x:c r="L21" s="8" t="n">
        <x:v>372.307</x:v>
      </x:c>
    </x:row>
    <x:row r="22" ht="21" customHeight="1">
      <x:c r="A22" s="8" t="n">
        <x:v>0.891</x:v>
      </x:c>
      <x:c r="B22" s="8" t="n">
        <x:v>-15</x:v>
      </x:c>
      <x:c r="C22" s="8" t="n">
        <x:v>1.674</x:v>
      </x:c>
      <x:c r="D22" s="8" t="n">
        <x:v>0.597</x:v>
      </x:c>
      <x:c r="E22" s="8" t="n">
        <x:v>166.286</x:v>
      </x:c>
      <x:c r="F22" s="8" t="n">
        <x:v>0.874</x:v>
      </x:c>
      <x:c r="G22" s="8" t="n">
        <x:v>-15</x:v>
      </x:c>
      <x:c r="H22" s="8" t="n">
        <x:v>0.399</x:v>
      </x:c>
      <x:c r="I22" s="8" t="n">
        <x:v>2.506</x:v>
      </x:c>
      <x:c r="J22" s="8" t="n">
        <x:v>534.257</x:v>
      </x:c>
      <x:c r="K22" s="8" t="n">
        <x:v>2.299</x:v>
      </x:c>
      <x:c r="L22" s="8" t="n">
        <x:v>367.972</x:v>
      </x:c>
    </x:row>
    <x:row r="23" ht="21" customHeight="1">
      <x:c r="A23" s="8" t="n">
        <x:v>1.013</x:v>
      </x:c>
      <x:c r="B23" s="8" t="n">
        <x:v>-11.76</x:v>
      </x:c>
      <x:c r="C23" s="8" t="n">
        <x:v>1.684</x:v>
      </x:c>
      <x:c r="D23" s="8" t="n">
        <x:v>0.594</x:v>
      </x:c>
      <x:c r="E23" s="8" t="n">
        <x:v>173.481</x:v>
      </x:c>
      <x:c r="F23" s="8" t="n">
        <x:v>0.901</x:v>
      </x:c>
      <x:c r="G23" s="8" t="n">
        <x:v>-11.76</x:v>
      </x:c>
      <x:c r="H23" s="8" t="n">
        <x:v>0.354</x:v>
      </x:c>
      <x:c r="I23" s="8" t="n">
        <x:v>2.826</x:v>
      </x:c>
      <x:c r="J23" s="8" t="n">
        <x:v>538.587</x:v>
      </x:c>
      <x:c r="K23" s="8" t="n">
        <x:v>2.298</x:v>
      </x:c>
      <x:c r="L23" s="8" t="n">
        <x:v>365.106</x:v>
      </x:c>
    </x:row>
    <x:row r="24" ht="21" customHeight="1">
      <x:c r="A24" s="8" t="n">
        <x:v>1.085</x:v>
      </x:c>
      <x:c r="B24" s="8" t="n">
        <x:v>-10</x:v>
      </x:c>
      <x:c r="C24" s="8" t="n">
        <x:v>1.69</x:v>
      </x:c>
      <x:c r="D24" s="8" t="n">
        <x:v>0.592</x:v>
      </x:c>
      <x:c r="E24" s="8" t="n">
        <x:v>177.395</x:v>
      </x:c>
      <x:c r="F24" s="8" t="n">
        <x:v>0.916</x:v>
      </x:c>
      <x:c r="G24" s="8" t="n">
        <x:v>-10</x:v>
      </x:c>
      <x:c r="H24" s="8" t="n">
        <x:v>0.332</x:v>
      </x:c>
      <x:c r="I24" s="8" t="n">
        <x:v>3.012</x:v>
      </x:c>
      <x:c r="J24" s="8" t="n">
        <x:v>540.933</x:v>
      </x:c>
      <x:c r="K24" s="8" t="n">
        <x:v>2.297</x:v>
      </x:c>
      <x:c r="L24" s="8" t="n">
        <x:v>363.537</x:v>
      </x:c>
    </x:row>
    <x:row r="25" ht="21" customHeight="1">
      <x:c r="A25" s="8" t="n">
        <x:v>1.31</x:v>
      </x:c>
      <x:c r="B25" s="8" t="n">
        <x:v>-5</x:v>
      </x:c>
      <x:c r="C25" s="8" t="n">
        <x:v>1.706</x:v>
      </x:c>
      <x:c r="D25" s="8" t="n">
        <x:v>0.586</x:v>
      </x:c>
      <x:c r="E25" s="8" t="n">
        <x:v>188.632</x:v>
      </x:c>
      <x:c r="F25" s="8" t="n">
        <x:v>0.958</x:v>
      </x:c>
      <x:c r="G25" s="8" t="n">
        <x:v>-5</x:v>
      </x:c>
      <x:c r="H25" s="8" t="n">
        <x:v>0.278</x:v>
      </x:c>
      <x:c r="I25" s="8" t="n">
        <x:v>3.593</x:v>
      </x:c>
      <x:c r="J25" s="8" t="n">
        <x:v>547.628</x:v>
      </x:c>
      <x:c r="K25" s="8" t="n">
        <x:v>2.297</x:v>
      </x:c>
      <x:c r="L25" s="8" t="n">
        <x:v>358.996</x:v>
      </x:c>
    </x:row>
    <x:row r="26" ht="21" customHeight="1">
      <x:c r="A26" s="8" t="n">
        <x:v>1.57</x:v>
      </x:c>
      <x:c r="B26" s="8" t="n">
        <x:v>0</x:v>
      </x:c>
      <x:c r="C26" s="8" t="n">
        <x:v>1.722</x:v>
      </x:c>
      <x:c r="D26" s="8" t="n">
        <x:v>0.581</x:v>
      </x:c>
      <x:c r="E26" s="8" t="n">
        <x:v>200</x:v>
      </x:c>
      <x:c r="F26" s="8" t="n">
        <x:v>1</x:v>
      </x:c>
      <x:c r="G26" s="8" t="n">
        <x:v>0</x:v>
      </x:c>
      <x:c r="H26" s="8" t="n">
        <x:v>0.235</x:v>
      </x:c>
      <x:c r="I26" s="8" t="n">
        <x:v>4.257</x:v>
      </x:c>
      <x:c r="J26" s="8" t="n">
        <x:v>554.337</x:v>
      </x:c>
      <x:c r="K26" s="8" t="n">
        <x:v>2.297</x:v>
      </x:c>
      <x:c r="L26" s="8" t="n">
        <x:v>354.337</x:v>
      </x:c>
    </x:row>
    <x:row r="27" ht="21" customHeight="1">
      <x:c r="A27" s="8" t="n">
        <x:v>1.867</x:v>
      </x:c>
      <x:c r="B27" s="8" t="n">
        <x:v>5</x:v>
      </x:c>
      <x:c r="C27" s="8" t="n">
        <x:v>1.74</x:v>
      </x:c>
      <x:c r="D27" s="8" t="n">
        <x:v>0.575</x:v>
      </x:c>
      <x:c r="E27" s="8" t="n">
        <x:v>211.504</x:v>
      </x:c>
      <x:c r="F27" s="8" t="n">
        <x:v>1.042</x:v>
      </x:c>
      <x:c r="G27" s="8" t="n">
        <x:v>5</x:v>
      </x:c>
      <x:c r="H27" s="8" t="n">
        <x:v>0.2</x:v>
      </x:c>
      <x:c r="I27" s="8" t="n">
        <x:v>5.012</x:v>
      </x:c>
      <x:c r="J27" s="8" t="n">
        <x:v>561.056</x:v>
      </x:c>
      <x:c r="K27" s="8" t="n">
        <x:v>2.298</x:v>
      </x:c>
      <x:c r="L27" s="8" t="n">
        <x:v>349.552</x:v>
      </x:c>
    </x:row>
    <x:row r="28" ht="21" customHeight="1">
      <x:c r="A28" s="8" t="n">
        <x:v>2.206</x:v>
      </x:c>
      <x:c r="B28" s="8" t="n">
        <x:v>10</x:v>
      </x:c>
      <x:c r="C28" s="8" t="n">
        <x:v>1.758</x:v>
      </x:c>
      <x:c r="D28" s="8" t="n">
        <x:v>0.569</x:v>
      </x:c>
      <x:c r="E28" s="8" t="n">
        <x:v>223.149</x:v>
      </x:c>
      <x:c r="F28" s="8" t="n">
        <x:v>1.083</x:v>
      </x:c>
      <x:c r="G28" s="8" t="n">
        <x:v>10</x:v>
      </x:c>
      <x:c r="H28" s="8" t="n">
        <x:v>0.17</x:v>
      </x:c>
      <x:c r="I28" s="8" t="n">
        <x:v>5.867</x:v>
      </x:c>
      <x:c r="J28" s="8" t="n">
        <x:v>567.778</x:v>
      </x:c>
      <x:c r="K28" s="8" t="n">
        <x:v>2.3</x:v>
      </x:c>
      <x:c r="L28" s="8" t="n">
        <x:v>344.629</x:v>
      </x:c>
    </x:row>
    <x:row r="29" ht="21" customHeight="1">
      <x:c r="A29" s="8" t="n">
        <x:v>2.59</x:v>
      </x:c>
      <x:c r="B29" s="8" t="n">
        <x:v>15</x:v>
      </x:c>
      <x:c r="C29" s="8" t="n">
        <x:v>1.776</x:v>
      </x:c>
      <x:c r="D29" s="8" t="n">
        <x:v>0.563</x:v>
      </x:c>
      <x:c r="E29" s="8" t="n">
        <x:v>234.94</x:v>
      </x:c>
      <x:c r="F29" s="8" t="n">
        <x:v>1.124</x:v>
      </x:c>
      <x:c r="G29" s="8" t="n">
        <x:v>15</x:v>
      </x:c>
      <x:c r="H29" s="8" t="n">
        <x:v>0.146</x:v>
      </x:c>
      <x:c r="I29" s="8" t="n">
        <x:v>6.831</x:v>
      </x:c>
      <x:c r="J29" s="8" t="n">
        <x:v>574.497</x:v>
      </x:c>
      <x:c r="K29" s="8" t="n">
        <x:v>2.302</x:v>
      </x:c>
      <x:c r="L29" s="8" t="n">
        <x:v>339.558</x:v>
      </x:c>
    </x:row>
    <x:row r="30" ht="21" customHeight="1">
      <x:c r="A30" s="8" t="n">
        <x:v>3.022</x:v>
      </x:c>
      <x:c r="B30" s="8" t="n">
        <x:v>20</x:v>
      </x:c>
      <x:c r="C30" s="8" t="n">
        <x:v>1.796</x:v>
      </x:c>
      <x:c r="D30" s="8" t="n">
        <x:v>0.557</x:v>
      </x:c>
      <x:c r="E30" s="8" t="n">
        <x:v>246.881</x:v>
      </x:c>
      <x:c r="F30" s="8" t="n">
        <x:v>1.165</x:v>
      </x:c>
      <x:c r="G30" s="8" t="n">
        <x:v>20</x:v>
      </x:c>
      <x:c r="H30" s="8" t="n">
        <x:v>0.126</x:v>
      </x:c>
      <x:c r="I30" s="8" t="n">
        <x:v>7.913</x:v>
      </x:c>
      <x:c r="J30" s="8" t="n">
        <x:v>581.207</x:v>
      </x:c>
      <x:c r="K30" s="8" t="n">
        <x:v>2.305</x:v>
      </x:c>
      <x:c r="L30" s="8" t="n">
        <x:v>334.326</x:v>
      </x:c>
    </x:row>
    <x:row r="31" ht="21" customHeight="1">
      <x:c r="A31" s="8" t="n">
        <x:v>3.507</x:v>
      </x:c>
      <x:c r="B31" s="8" t="n">
        <x:v>25</x:v>
      </x:c>
      <x:c r="C31" s="8" t="n">
        <x:v>1.816</x:v>
      </x:c>
      <x:c r="D31" s="8" t="n">
        <x:v>0.551</x:v>
      </x:c>
      <x:c r="E31" s="8" t="n">
        <x:v>258.98</x:v>
      </x:c>
      <x:c r="F31" s="8" t="n">
        <x:v>1.205</x:v>
      </x:c>
      <x:c r="G31" s="8" t="n">
        <x:v>25</x:v>
      </x:c>
      <x:c r="H31" s="8" t="n">
        <x:v>0.11</x:v>
      </x:c>
      <x:c r="I31" s="8" t="n">
        <x:v>9.126</x:v>
      </x:c>
      <x:c r="J31" s="8" t="n">
        <x:v>587.901</x:v>
      </x:c>
      <x:c r="K31" s="8" t="n">
        <x:v>2.309</x:v>
      </x:c>
      <x:c r="L31" s="8" t="n">
        <x:v>328.921</x:v>
      </x:c>
    </x:row>
    <x:row r="32" ht="21" customHeight="1">
      <x:c r="A32" s="8" t="n">
        <x:v>4.047</x:v>
      </x:c>
      <x:c r="B32" s="8" t="n">
        <x:v>30</x:v>
      </x:c>
      <x:c r="C32" s="8" t="n">
        <x:v>1.837</x:v>
      </x:c>
      <x:c r="D32" s="8" t="n">
        <x:v>0.544</x:v>
      </x:c>
      <x:c r="E32" s="8" t="n">
        <x:v>271.241</x:v>
      </x:c>
      <x:c r="F32" s="8" t="n">
        <x:v>1.246</x:v>
      </x:c>
      <x:c r="G32" s="8" t="n">
        <x:v>30</x:v>
      </x:c>
      <x:c r="H32" s="8" t="n">
        <x:v>0.095</x:v>
      </x:c>
      <x:c r="I32" s="8" t="n">
        <x:v>10.48</x:v>
      </x:c>
      <x:c r="J32" s="8" t="n">
        <x:v>594.57</x:v>
      </x:c>
      <x:c r="K32" s="8" t="n">
        <x:v>2.312</x:v>
      </x:c>
      <x:c r="L32" s="8" t="n">
        <x:v>323.329</x:v>
      </x:c>
    </x:row>
    <x:row r="33" ht="21" customHeight="1">
      <x:c r="A33" s="8" t="n">
        <x:v>4.648</x:v>
      </x:c>
      <x:c r="B33" s="8" t="n">
        <x:v>35</x:v>
      </x:c>
      <x:c r="C33" s="8" t="n">
        <x:v>1.859</x:v>
      </x:c>
      <x:c r="D33" s="8" t="n">
        <x:v>0.538</x:v>
      </x:c>
      <x:c r="E33" s="8" t="n">
        <x:v>283.672</x:v>
      </x:c>
      <x:c r="F33" s="8" t="n">
        <x:v>1.286</x:v>
      </x:c>
      <x:c r="G33" s="8" t="n">
        <x:v>35</x:v>
      </x:c>
      <x:c r="H33" s="8" t="n">
        <x:v>0.083</x:v>
      </x:c>
      <x:c r="I33" s="8" t="n">
        <x:v>11.988</x:v>
      </x:c>
      <x:c r="J33" s="8" t="n">
        <x:v>601.207</x:v>
      </x:c>
      <x:c r="K33" s="8" t="n">
        <x:v>2.317</x:v>
      </x:c>
      <x:c r="L33" s="8" t="n">
        <x:v>317.535</x:v>
      </x:c>
    </x:row>
    <x:row r="34" ht="21" customHeight="1">
      <x:c r="A34" s="8" t="n">
        <x:v>5.312</x:v>
      </x:c>
      <x:c r="B34" s="8" t="n">
        <x:v>40</x:v>
      </x:c>
      <x:c r="C34" s="8" t="n">
        <x:v>1.883</x:v>
      </x:c>
      <x:c r="D34" s="8" t="n">
        <x:v>0.531</x:v>
      </x:c>
      <x:c r="E34" s="8" t="n">
        <x:v>296.28</x:v>
      </x:c>
      <x:c r="F34" s="8" t="n">
        <x:v>1.326</x:v>
      </x:c>
      <x:c r="G34" s="8" t="n">
        <x:v>40</x:v>
      </x:c>
      <x:c r="H34" s="8" t="n">
        <x:v>0.073</x:v>
      </x:c>
      <x:c r="I34" s="8" t="n">
        <x:v>13.666</x:v>
      </x:c>
      <x:c r="J34" s="8" t="n">
        <x:v>607.802</x:v>
      </x:c>
      <x:c r="K34" s="8" t="n">
        <x:v>2.321</x:v>
      </x:c>
      <x:c r="L34" s="8" t="n">
        <x:v>311.522</x:v>
      </x:c>
    </x:row>
    <x:row r="35" ht="21" customHeight="1">
      <x:c r="A35" s="8" t="n">
        <x:v>6.044</x:v>
      </x:c>
      <x:c r="B35" s="8" t="n">
        <x:v>45</x:v>
      </x:c>
      <x:c r="C35" s="8" t="n">
        <x:v>1.907</x:v>
      </x:c>
      <x:c r="D35" s="8" t="n">
        <x:v>0.524</x:v>
      </x:c>
      <x:c r="E35" s="8" t="n">
        <x:v>309.073</x:v>
      </x:c>
      <x:c r="F35" s="8" t="n">
        <x:v>1.366</x:v>
      </x:c>
      <x:c r="G35" s="8" t="n">
        <x:v>45</x:v>
      </x:c>
      <x:c r="H35" s="8" t="n">
        <x:v>0.064</x:v>
      </x:c>
      <x:c r="I35" s="8" t="n">
        <x:v>15.529</x:v>
      </x:c>
      <x:c r="J35" s="8" t="n">
        <x:v>614.344</x:v>
      </x:c>
      <x:c r="K35" s="8" t="n">
        <x:v>2.326</x:v>
      </x:c>
      <x:c r="L35" s="8" t="n">
        <x:v>305.271</x:v>
      </x:c>
    </x:row>
    <x:row r="36" ht="21" customHeight="1">
      <x:c r="A36" s="8" t="n">
        <x:v>6.849</x:v>
      </x:c>
      <x:c r="B36" s="8" t="n">
        <x:v>50</x:v>
      </x:c>
      <x:c r="C36" s="8" t="n">
        <x:v>1.933</x:v>
      </x:c>
      <x:c r="D36" s="8" t="n">
        <x:v>0.517</x:v>
      </x:c>
      <x:c r="E36" s="8" t="n">
        <x:v>322.06</x:v>
      </x:c>
      <x:c r="F36" s="8" t="n">
        <x:v>1.406</x:v>
      </x:c>
      <x:c r="G36" s="8" t="n">
        <x:v>50</x:v>
      </x:c>
      <x:c r="H36" s="8" t="n">
        <x:v>0.057</x:v>
      </x:c>
      <x:c r="I36" s="8" t="n">
        <x:v>17.595</x:v>
      </x:c>
      <x:c r="J36" s="8" t="n">
        <x:v>620.823</x:v>
      </x:c>
      <x:c r="K36" s="8" t="n">
        <x:v>2.331</x:v>
      </x:c>
      <x:c r="L36" s="8" t="n">
        <x:v>298.763</x:v>
      </x:c>
    </x:row>
    <x:row r="37" ht="21" customHeight="1">
      <x:c r="A37" s="8" t="n">
        <x:v>7.73</x:v>
      </x:c>
      <x:c r="B37" s="8" t="n">
        <x:v>55</x:v>
      </x:c>
      <x:c r="C37" s="8" t="n">
        <x:v>1.96</x:v>
      </x:c>
      <x:c r="D37" s="8" t="n">
        <x:v>0.51</x:v>
      </x:c>
      <x:c r="E37" s="8" t="n">
        <x:v>335.251</x:v>
      </x:c>
      <x:c r="F37" s="8" t="n">
        <x:v>1.446</x:v>
      </x:c>
      <x:c r="G37" s="8" t="n">
        <x:v>55</x:v>
      </x:c>
      <x:c r="H37" s="8" t="n">
        <x:v>0.05</x:v>
      </x:c>
      <x:c r="I37" s="8" t="n">
        <x:v>19.886</x:v>
      </x:c>
      <x:c r="J37" s="8" t="n">
        <x:v>627.223</x:v>
      </x:c>
      <x:c r="K37" s="8" t="n">
        <x:v>2.336</x:v>
      </x:c>
      <x:c r="L37" s="8" t="n">
        <x:v>291.972</x:v>
      </x:c>
    </x:row>
    <x:row r="38" ht="21" customHeight="1">
      <x:c r="A38" s="8" t="n">
        <x:v>8.692</x:v>
      </x:c>
      <x:c r="B38" s="8" t="n">
        <x:v>60</x:v>
      </x:c>
      <x:c r="C38" s="8" t="n">
        <x:v>1.989</x:v>
      </x:c>
      <x:c r="D38" s="8" t="n">
        <x:v>0.503</x:v>
      </x:c>
      <x:c r="E38" s="8" t="n">
        <x:v>348.657</x:v>
      </x:c>
      <x:c r="F38" s="8" t="n">
        <x:v>1.486</x:v>
      </x:c>
      <x:c r="G38" s="8" t="n">
        <x:v>60</x:v>
      </x:c>
      <x:c r="H38" s="8" t="n">
        <x:v>0.045</x:v>
      </x:c>
      <x:c r="I38" s="8" t="n">
        <x:v>22.426</x:v>
      </x:c>
      <x:c r="J38" s="8" t="n">
        <x:v>633.528</x:v>
      </x:c>
      <x:c r="K38" s="8" t="n">
        <x:v>2.341</x:v>
      </x:c>
      <x:c r="L38" s="8" t="n">
        <x:v>284.872</x:v>
      </x:c>
    </x:row>
    <x:row r="39" ht="21" customHeight="1">
      <x:c r="A39" s="8" t="n">
        <x:v>9.739</x:v>
      </x:c>
      <x:c r="B39" s="8" t="n">
        <x:v>65</x:v>
      </x:c>
      <x:c r="C39" s="8" t="n">
        <x:v>2.02</x:v>
      </x:c>
      <x:c r="D39" s="8" t="n">
        <x:v>0.495</x:v>
      </x:c>
      <x:c r="E39" s="8" t="n">
        <x:v>362.291</x:v>
      </x:c>
      <x:c r="F39" s="8" t="n">
        <x:v>1.526</x:v>
      </x:c>
      <x:c r="G39" s="8" t="n">
        <x:v>65</x:v>
      </x:c>
      <x:c r="H39" s="8" t="n">
        <x:v>0.04</x:v>
      </x:c>
      <x:c r="I39" s="8" t="n">
        <x:v>25.242</x:v>
      </x:c>
      <x:c r="J39" s="8" t="n">
        <x:v>639.718</x:v>
      </x:c>
      <x:c r="K39" s="8" t="n">
        <x:v>2.347</x:v>
      </x:c>
      <x:c r="L39" s="8" t="n">
        <x:v>277.427</x:v>
      </x:c>
    </x:row>
    <x:row r="40" ht="21" customHeight="1">
      <x:c r="A40" s="8" t="n">
        <x:v>10.875</x:v>
      </x:c>
      <x:c r="B40" s="8" t="n">
        <x:v>70</x:v>
      </x:c>
      <x:c r="C40" s="8" t="n">
        <x:v>2.053</x:v>
      </x:c>
      <x:c r="D40" s="8" t="n">
        <x:v>0.487</x:v>
      </x:c>
      <x:c r="E40" s="8" t="n">
        <x:v>376.169</x:v>
      </x:c>
      <x:c r="F40" s="8" t="n">
        <x:v>1.566</x:v>
      </x:c>
      <x:c r="G40" s="8" t="n">
        <x:v>70</x:v>
      </x:c>
      <x:c r="H40" s="8" t="n">
        <x:v>0.035</x:v>
      </x:c>
      <x:c r="I40" s="8" t="n">
        <x:v>28.369</x:v>
      </x:c>
      <x:c r="J40" s="8" t="n">
        <x:v>645.766</x:v>
      </x:c>
      <x:c r="K40" s="8" t="n">
        <x:v>2.352</x:v>
      </x:c>
      <x:c r="L40" s="8" t="n">
        <x:v>269.597</x:v>
      </x:c>
    </x:row>
    <x:row r="41" ht="21" customHeight="1">
      <x:c r="A41" s="8" t="n">
        <x:v>12.107</x:v>
      </x:c>
      <x:c r="B41" s="8" t="n">
        <x:v>75</x:v>
      </x:c>
      <x:c r="C41" s="8" t="n">
        <x:v>2.089</x:v>
      </x:c>
      <x:c r="D41" s="8" t="n">
        <x:v>0.479</x:v>
      </x:c>
      <x:c r="E41" s="8" t="n">
        <x:v>390.309</x:v>
      </x:c>
      <x:c r="F41" s="8" t="n">
        <x:v>1.607</x:v>
      </x:c>
      <x:c r="G41" s="8" t="n">
        <x:v>75</x:v>
      </x:c>
      <x:c r="H41" s="8" t="n">
        <x:v>0.031</x:v>
      </x:c>
      <x:c r="I41" s="8" t="n">
        <x:v>31.846</x:v>
      </x:c>
      <x:c r="J41" s="8" t="n">
        <x:v>651.643</x:v>
      </x:c>
      <x:c r="K41" s="8" t="n">
        <x:v>2.357</x:v>
      </x:c>
      <x:c r="L41" s="8" t="n">
        <x:v>261.334</x:v>
      </x:c>
    </x:row>
    <x:row r="42" ht="21" customHeight="1">
      <x:c r="A42" s="8" t="n">
        <x:v>13.438</x:v>
      </x:c>
      <x:c r="B42" s="8" t="n">
        <x:v>80</x:v>
      </x:c>
      <x:c r="C42" s="8" t="n">
        <x:v>2.128</x:v>
      </x:c>
      <x:c r="D42" s="8" t="n">
        <x:v>0.47</x:v>
      </x:c>
      <x:c r="E42" s="8" t="n">
        <x:v>404.732</x:v>
      </x:c>
      <x:c r="F42" s="8" t="n">
        <x:v>1.647</x:v>
      </x:c>
      <x:c r="G42" s="8" t="n">
        <x:v>80</x:v>
      </x:c>
      <x:c r="H42" s="8" t="n">
        <x:v>0.028</x:v>
      </x:c>
      <x:c r="I42" s="8" t="n">
        <x:v>35.721</x:v>
      </x:c>
      <x:c r="J42" s="8" t="n">
        <x:v>657.313</x:v>
      </x:c>
      <x:c r="K42" s="8" t="n">
        <x:v>2.362</x:v>
      </x:c>
      <x:c r="L42" s="8" t="n">
        <x:v>252.582</x:v>
      </x:c>
    </x:row>
    <x:row r="43" ht="21" customHeight="1">
      <x:c r="A43" s="8" t="n">
        <x:v>14.874</x:v>
      </x:c>
      <x:c r="B43" s="8" t="n">
        <x:v>85</x:v>
      </x:c>
      <x:c r="C43" s="8" t="n">
        <x:v>2.17</x:v>
      </x:c>
      <x:c r="D43" s="8" t="n">
        <x:v>0.461</x:v>
      </x:c>
      <x:c r="E43" s="8" t="n">
        <x:v>419.464</x:v>
      </x:c>
      <x:c r="F43" s="8" t="n">
        <x:v>1.687</x:v>
      </x:c>
      <x:c r="G43" s="8" t="n">
        <x:v>85</x:v>
      </x:c>
      <x:c r="H43" s="8" t="n">
        <x:v>0.025</x:v>
      </x:c>
      <x:c r="I43" s="8" t="n">
        <x:v>40.057</x:v>
      </x:c>
      <x:c r="J43" s="8" t="n">
        <x:v>662.735</x:v>
      </x:c>
      <x:c r="K43" s="8" t="n">
        <x:v>2.367</x:v>
      </x:c>
      <x:c r="L43" s="8" t="n">
        <x:v>243.27</x:v>
      </x:c>
    </x:row>
    <x:row r="44" ht="21" customHeight="1">
      <x:c r="A44" s="8" t="n">
        <x:v>16.42</x:v>
      </x:c>
      <x:c r="B44" s="8" t="n">
        <x:v>90</x:v>
      </x:c>
      <x:c r="C44" s="8" t="n">
        <x:v>2.217</x:v>
      </x:c>
      <x:c r="D44" s="8" t="n">
        <x:v>0.451</x:v>
      </x:c>
      <x:c r="E44" s="8" t="n">
        <x:v>434.54</x:v>
      </x:c>
      <x:c r="F44" s="8" t="n">
        <x:v>1.728</x:v>
      </x:c>
      <x:c r="G44" s="8" t="n">
        <x:v>90</x:v>
      </x:c>
      <x:c r="H44" s="8" t="n">
        <x:v>0.022</x:v>
      </x:c>
      <x:c r="I44" s="8" t="n">
        <x:v>44.927</x:v>
      </x:c>
      <x:c r="J44" s="8" t="n">
        <x:v>667.857</x:v>
      </x:c>
      <x:c r="K44" s="8" t="n">
        <x:v>2.371</x:v>
      </x:c>
      <x:c r="L44" s="8" t="n">
        <x:v>233.318</x:v>
      </x:c>
    </x:row>
    <x:row r="45" ht="21" customHeight="1">
      <x:c r="A45" s="8" t="n">
        <x:v>18.081</x:v>
      </x:c>
      <x:c r="B45" s="8" t="n">
        <x:v>95</x:v>
      </x:c>
      <x:c r="C45" s="8" t="n">
        <x:v>2.269</x:v>
      </x:c>
      <x:c r="D45" s="8" t="n">
        <x:v>0.441</x:v>
      </x:c>
      <x:c r="E45" s="8" t="n">
        <x:v>450.001</x:v>
      </x:c>
      <x:c r="F45" s="8" t="n">
        <x:v>1.77</x:v>
      </x:c>
      <x:c r="G45" s="8" t="n">
        <x:v>95</x:v>
      </x:c>
      <x:c r="H45" s="8" t="n">
        <x:v>0.02</x:v>
      </x:c>
      <x:c r="I45" s="8" t="n">
        <x:v>50.43</x:v>
      </x:c>
      <x:c r="J45" s="8" t="n">
        <x:v>672.618</x:v>
      </x:c>
      <x:c r="K45" s="8" t="n">
        <x:v>2.374</x:v>
      </x:c>
      <x:c r="L45" s="8" t="n">
        <x:v>222.618</x:v>
      </x:c>
    </x:row>
    <x:row r="46" ht="21" customHeight="1">
      <x:c r="A46" s="8" t="n">
        <x:v>19.865</x:v>
      </x:c>
      <x:c r="B46" s="8" t="n">
        <x:v>100</x:v>
      </x:c>
      <x:c r="C46" s="8" t="n">
        <x:v>2.328</x:v>
      </x:c>
      <x:c r="D46" s="8" t="n">
        <x:v>0.43</x:v>
      </x:c>
      <x:c r="E46" s="8" t="n">
        <x:v>465.904</x:v>
      </x:c>
      <x:c r="F46" s="8" t="n">
        <x:v>1.811</x:v>
      </x:c>
      <x:c r="G46" s="8" t="n">
        <x:v>100</x:v>
      </x:c>
      <x:c r="H46" s="8" t="n">
        <x:v>0.018</x:v>
      </x:c>
      <x:c r="I46" s="8" t="n">
        <x:v>56.697</x:v>
      </x:c>
      <x:c r="J46" s="8" t="n">
        <x:v>676.937</x:v>
      </x:c>
      <x:c r="K46" s="8" t="n">
        <x:v>2.377</x:v>
      </x:c>
      <x:c r="L46" s="8" t="n">
        <x:v>211.032</x:v>
      </x:c>
    </x:row>
    <x:row r="47" ht="21" customHeight="1">
      <x:c r="A47" s="8" t="n">
        <x:v>21.778</x:v>
      </x:c>
      <x:c r="B47" s="8" t="n">
        <x:v>105</x:v>
      </x:c>
      <x:c r="C47" s="8" t="n">
        <x:v>2.395</x:v>
      </x:c>
      <x:c r="D47" s="8" t="n">
        <x:v>0.418</x:v>
      </x:c>
      <x:c r="E47" s="8" t="n">
        <x:v>482.329</x:v>
      </x:c>
      <x:c r="F47" s="8" t="n">
        <x:v>1.854</x:v>
      </x:c>
      <x:c r="G47" s="8" t="n">
        <x:v>105</x:v>
      </x:c>
      <x:c r="H47" s="8" t="n">
        <x:v>0.016</x:v>
      </x:c>
      <x:c r="I47" s="8" t="n">
        <x:v>63.91</x:v>
      </x:c>
      <x:c r="J47" s="8" t="n">
        <x:v>680.699</x:v>
      </x:c>
      <x:c r="K47" s="8" t="n">
        <x:v>2.378</x:v>
      </x:c>
      <x:c r="L47" s="8" t="n">
        <x:v>198.37</x:v>
      </x:c>
    </x:row>
    <x:row r="48" ht="21" customHeight="1">
      <x:c r="A48" s="8" t="n">
        <x:v>23.826</x:v>
      </x:c>
      <x:c r="B48" s="8" t="n">
        <x:v>110</x:v>
      </x:c>
      <x:c r="C48" s="8" t="n">
        <x:v>2.473</x:v>
      </x:c>
      <x:c r="D48" s="8" t="n">
        <x:v>0.404</x:v>
      </x:c>
      <x:c r="E48" s="8" t="n">
        <x:v>499.389</x:v>
      </x:c>
      <x:c r="F48" s="8" t="n">
        <x:v>1.897</x:v>
      </x:c>
      <x:c r="G48" s="8" t="n">
        <x:v>110</x:v>
      </x:c>
      <x:c r="H48" s="8" t="n">
        <x:v>0.014</x:v>
      </x:c>
      <x:c r="I48" s="8" t="n">
        <x:v>72.331</x:v>
      </x:c>
      <x:c r="J48" s="8" t="n">
        <x:v>683.741</x:v>
      </x:c>
      <x:c r="K48" s="8" t="n">
        <x:v>2.379</x:v>
      </x:c>
      <x:c r="L48" s="8" t="n">
        <x:v>184.352</x:v>
      </x:c>
    </x:row>
    <x:row r="49" ht="21" customHeight="1">
      <x:c r="A49" s="8" t="n">
        <x:v>26.019</x:v>
      </x:c>
      <x:c r="B49" s="8" t="n">
        <x:v>115</x:v>
      </x:c>
      <x:c r="C49" s="8" t="n">
        <x:v>2.568</x:v>
      </x:c>
      <x:c r="D49" s="8" t="n">
        <x:v>0.389</x:v>
      </x:c>
      <x:c r="E49" s="8" t="n">
        <x:v>517.263</x:v>
      </x:c>
      <x:c r="F49" s="8" t="n">
        <x:v>1.942</x:v>
      </x:c>
      <x:c r="G49" s="8" t="n">
        <x:v>115</x:v>
      </x:c>
      <x:c r="H49" s="8" t="n">
        <x:v>0.012</x:v>
      </x:c>
      <x:c r="I49" s="8" t="n">
        <x:v>82.372</x:v>
      </x:c>
      <x:c r="J49" s="8" t="n">
        <x:v>685.808</x:v>
      </x:c>
      <x:c r="K49" s="8" t="n">
        <x:v>2.377</x:v>
      </x:c>
      <x:c r="L49" s="8" t="n">
        <x:v>168.544</x:v>
      </x:c>
    </x:row>
    <x:row r="50" ht="21" customHeight="1">
      <x:c r="A50" s="8" t="n">
        <x:v>28.366</x:v>
      </x:c>
      <x:c r="B50" s="8" t="n">
        <x:v>120</x:v>
      </x:c>
      <x:c r="C50" s="8" t="n">
        <x:v>2.688</x:v>
      </x:c>
      <x:c r="D50" s="8" t="n">
        <x:v>0.372</x:v>
      </x:c>
      <x:c r="E50" s="8" t="n">
        <x:v>536.259</x:v>
      </x:c>
      <x:c r="F50" s="8" t="n">
        <x:v>1.989</x:v>
      </x:c>
      <x:c r="G50" s="8" t="n">
        <x:v>120</x:v>
      </x:c>
      <x:c r="H50" s="8" t="n">
        <x:v>0.011</x:v>
      </x:c>
      <x:c r="I50" s="8" t="n">
        <x:v>94.741</x:v>
      </x:c>
      <x:c r="J50" s="8" t="n">
        <x:v>686.459</x:v>
      </x:c>
      <x:c r="K50" s="8" t="n">
        <x:v>2.371</x:v>
      </x:c>
      <x:c r="L50" s="8" t="n">
        <x:v>150.2</x:v>
      </x:c>
    </x:row>
    <x:row r="51" ht="21" customHeight="1">
      <x:c r="A51" s="8" t="n">
        <x:v>30.88</x:v>
      </x:c>
      <x:c r="B51" s="8" t="n">
        <x:v>125</x:v>
      </x:c>
      <x:c r="C51" s="8" t="n">
        <x:v>2.852</x:v>
      </x:c>
      <x:c r="D51" s="8" t="n">
        <x:v>0.351</x:v>
      </x:c>
      <x:c r="E51" s="8" t="n">
        <x:v>557.006</x:v>
      </x:c>
      <x:c r="F51" s="8" t="n">
        <x:v>2.04</x:v>
      </x:c>
      <x:c r="G51" s="8" t="n">
        <x:v>125</x:v>
      </x:c>
      <x:c r="H51" s="8" t="n">
        <x:v>0.009</x:v>
      </x:c>
      <x:c r="I51" s="8" t="n">
        <x:v>110.866</x:v>
      </x:c>
      <x:c r="J51" s="8" t="n">
        <x:v>684.814</x:v>
      </x:c>
      <x:c r="K51" s="8" t="n">
        <x:v>2.361</x:v>
      </x:c>
      <x:c r="L51" s="8" t="n">
        <x:v>127.808</x:v>
      </x:c>
    </x:row>
    <x:row r="52" ht="21" customHeight="1">
      <x:c r="A52" s="8" t="n">
        <x:v>33.578</x:v>
      </x:c>
      <x:c r="B52" s="8" t="n">
        <x:v>130</x:v>
      </x:c>
      <x:c r="C52" s="8" t="n">
        <x:v>3.115</x:v>
      </x:c>
      <x:c r="D52" s="8" t="n">
        <x:v>0.321</x:v>
      </x:c>
      <x:c r="E52" s="8" t="n">
        <x:v>581.255</x:v>
      </x:c>
      <x:c r="F52" s="8" t="n">
        <x:v>2.099</x:v>
      </x:c>
      <x:c r="G52" s="8" t="n">
        <x:v>130</x:v>
      </x:c>
      <x:c r="H52" s="8" t="n">
        <x:v>0.007</x:v>
      </x:c>
      <x:c r="I52" s="8" t="n">
        <x:v>134.723</x:v>
      </x:c>
      <x:c r="J52" s="8" t="n">
        <x:v>678.439</x:v>
      </x:c>
      <x:c r="K52" s="8" t="n">
        <x:v>2.34</x:v>
      </x:c>
      <x:c r="L52" s="8" t="n">
        <x:v>97.184</x:v>
      </x:c>
    </x:row>
  </x:sheetData>
  <x:mergeCells>
    <x:mergeCell ref="A1:H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217ef46d1f2b4330"/>
  </x:tableParts>
</x:worksheet>
</file>

<file path=xl/worksheets/sheet3.xml><?xml version="1.0" encoding="utf-8"?>
<x:worksheet xmlns:x="http://schemas.openxmlformats.org/spreadsheetml/2006/main">
  <x:sheetPr>
    <x:tabColor rgb="FF176A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4" customHeight="1">
      <x:c r="A1" s="3" t="str">
        <x:v>R600a · Volumen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Fuente: tablas.pdf, página 2. Auditoría en GitHub: data/r600a/cell_audit.json.</x:v>
      </x:c>
      <x:c r="B2" s="7"/>
      <x:c r="C2" s="7"/>
      <x:c r="D2" s="7"/>
      <x:c r="E2" s="7"/>
      <x:c r="F2" s="7"/>
      <x:c r="G2" s="7"/>
      <x:c r="H2" s="7"/>
      <x:c r="I2" s="7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34" customHeight="1">
      <x:c r="A3" s="7" t="str">
        <x:v>Las columnas ΔT son grados de sobrecalentamiento: T absoluta = T sat + ΔT. Volumen en dm³/kg.</x:v>
      </x:c>
      <x:c r="B3" s="7"/>
      <x:c r="C3" s="7"/>
      <x:c r="D3" s="7"/>
      <x:c r="E3" s="7"/>
      <x:c r="F3" s="7"/>
      <x:c r="G3" s="7"/>
      <x:c r="H3" s="7"/>
      <x:c r="I3" s="7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36" customHeight="1">
      <x:c r="A4" s="5" t="str">
        <x:v>T sat (°C)</x:v>
      </x:c>
      <x:c r="B4" s="5" t="str">
        <x:v>P (bar)</x:v>
      </x:c>
      <x:c r="C4" s="5" t="str">
        <x:v>ΔT 0 °C</x:v>
      </x:c>
      <x:c r="D4" s="5" t="str">
        <x:v>ΔT 5 °C</x:v>
      </x:c>
      <x:c r="E4" s="5" t="str">
        <x:v>ΔT 10 °C</x:v>
      </x:c>
      <x:c r="F4" s="5" t="str">
        <x:v>ΔT 15 °C</x:v>
      </x:c>
      <x:c r="G4" s="5" t="str">
        <x:v>ΔT 20 °C</x:v>
      </x:c>
      <x:c r="H4" s="5" t="str">
        <x:v>ΔT 25 °C</x:v>
      </x:c>
      <x:c r="I4" s="5" t="str">
        <x:v>ΔT 30 °C</x:v>
      </x:c>
      <x:c r="J4" s="5" t="str">
        <x:v>ΔT 35 °C</x:v>
      </x:c>
      <x:c r="K4" s="5" t="str">
        <x:v>ΔT 40 °C</x:v>
      </x:c>
      <x:c r="L4" s="5" t="str">
        <x:v>ΔT 45 °C</x:v>
      </x:c>
      <x:c r="M4" s="5" t="str">
        <x:v>ΔT 50 °C</x:v>
      </x:c>
      <x:c r="N4" s="5" t="str">
        <x:v>ΔT 55 °C</x:v>
      </x:c>
      <x:c r="O4" s="5" t="str">
        <x:v>ΔT 60 °C</x:v>
      </x:c>
      <x:c r="P4" s="5" t="str">
        <x:v>ΔT 65 °C</x:v>
      </x:c>
      <x:c r="Q4" s="5" t="str">
        <x:v>ΔT 70 °C</x:v>
      </x:c>
      <x:c r="R4" s="5" t="str">
        <x:v>ΔT 75 °C</x:v>
      </x:c>
      <x:c r="S4" s="5" t="str">
        <x:v>ΔT 80 °C</x:v>
      </x:c>
      <x:c r="T4" s="5" t="str">
        <x:v>ΔT 85 °C</x:v>
      </x:c>
      <x:c r="U4" s="5" t="str">
        <x:v>ΔT 90 °C</x:v>
      </x:c>
      <x:c r="V4" s="5" t="str">
        <x:v>ΔT 95 °C</x:v>
      </x:c>
      <x:c r="W4" s="5" t="str">
        <x:v>ΔT 100 °C</x:v>
      </x:c>
    </x:row>
    <x:row r="5" ht="21" customHeight="1">
      <x:c r="A5" s="8" t="n">
        <x:v>-100</x:v>
      </x:c>
      <x:c r="B5" s="8" t="n">
        <x:v>0.004</x:v>
      </x:c>
      <x:c r="C5" s="8" t="n">
        <x:v>65234.428</x:v>
      </x:c>
      <x:c r="D5" s="8" t="n">
        <x:v>67122.092</x:v>
      </x:c>
      <x:c r="E5" s="8" t="n">
        <x:v>69009.465</x:v>
      </x:c>
      <x:c r="F5" s="8" t="n">
        <x:v>70896.587</x:v>
      </x:c>
      <x:c r="G5" s="8" t="n">
        <x:v>72783.489</x:v>
      </x:c>
      <x:c r="H5" s="8" t="n">
        <x:v>74670.201</x:v>
      </x:c>
      <x:c r="I5" s="8" t="n">
        <x:v>76556.744</x:v>
      </x:c>
      <x:c r="J5" s="8" t="n">
        <x:v>78443.14</x:v>
      </x:c>
      <x:c r="K5" s="8" t="n">
        <x:v>80329.405</x:v>
      </x:c>
      <x:c r="L5" s="8" t="n">
        <x:v>82215.554</x:v>
      </x:c>
      <x:c r="M5" s="8" t="n">
        <x:v>84101.6</x:v>
      </x:c>
      <x:c r="N5" s="8" t="n">
        <x:v>85987.555</x:v>
      </x:c>
      <x:c r="O5" s="8" t="n">
        <x:v>87873.427</x:v>
      </x:c>
      <x:c r="P5" s="8" t="n">
        <x:v>89759.226</x:v>
      </x:c>
      <x:c r="Q5" s="8" t="n">
        <x:v>91644.958</x:v>
      </x:c>
      <x:c r="R5" s="8" t="n">
        <x:v>93530.63</x:v>
      </x:c>
      <x:c r="S5" s="8" t="n">
        <x:v>95416.247</x:v>
      </x:c>
      <x:c r="T5" s="8" t="n">
        <x:v>97301.816</x:v>
      </x:c>
      <x:c r="U5" s="8" t="n">
        <x:v>99187.34</x:v>
      </x:c>
      <x:c r="V5" s="8" t="n">
        <x:v>101072.823</x:v>
      </x:c>
      <x:c r="W5" s="8" t="n">
        <x:v>102958.268</x:v>
      </x:c>
    </x:row>
    <x:row r="6" ht="21" customHeight="1">
      <x:c r="A6" s="8" t="n">
        <x:v>-95</x:v>
      </x:c>
      <x:c r="B6" s="8" t="n">
        <x:v>0.006</x:v>
      </x:c>
      <x:c r="C6" s="8" t="n">
        <x:v>41078.104</x:v>
      </x:c>
      <x:c r="D6" s="8" t="n">
        <x:v>42234.525</x:v>
      </x:c>
      <x:c r="E6" s="8" t="n">
        <x:v>43390.694</x:v>
      </x:c>
      <x:c r="F6" s="8" t="n">
        <x:v>44546.643</x:v>
      </x:c>
      <x:c r="G6" s="8" t="n">
        <x:v>45702.4</x:v>
      </x:c>
      <x:c r="H6" s="8" t="n">
        <x:v>46857.988</x:v>
      </x:c>
      <x:c r="I6" s="8" t="n">
        <x:v>48013.429</x:v>
      </x:c>
      <x:c r="J6" s="8" t="n">
        <x:v>49168.739</x:v>
      </x:c>
      <x:c r="K6" s="8" t="n">
        <x:v>50323.934</x:v>
      </x:c>
      <x:c r="L6" s="8" t="n">
        <x:v>51479.025</x:v>
      </x:c>
      <x:c r="M6" s="8" t="n">
        <x:v>52634.024</x:v>
      </x:c>
      <x:c r="N6" s="8" t="n">
        <x:v>53788.94</x:v>
      </x:c>
      <x:c r="O6" s="8" t="n">
        <x:v>54943.783</x:v>
      </x:c>
      <x:c r="P6" s="8" t="n">
        <x:v>56098.559</x:v>
      </x:c>
      <x:c r="Q6" s="8" t="n">
        <x:v>57253.276</x:v>
      </x:c>
      <x:c r="R6" s="8" t="n">
        <x:v>58407.937</x:v>
      </x:c>
      <x:c r="S6" s="8" t="n">
        <x:v>59562.55</x:v>
      </x:c>
      <x:c r="T6" s="8" t="n">
        <x:v>60717.118</x:v>
      </x:c>
      <x:c r="U6" s="8" t="n">
        <x:v>61871.645</x:v>
      </x:c>
      <x:c r="V6" s="8" t="n">
        <x:v>63026.135</x:v>
      </x:c>
      <x:c r="W6" s="8" t="n">
        <x:v>64180.59</x:v>
      </x:c>
    </x:row>
    <x:row r="7" ht="21" customHeight="1">
      <x:c r="A7" s="8" t="n">
        <x:v>-90</x:v>
      </x:c>
      <x:c r="B7" s="8" t="n">
        <x:v>0.01</x:v>
      </x:c>
      <x:c r="C7" s="8" t="n">
        <x:v>26648.454</x:v>
      </x:c>
      <x:c r="D7" s="8" t="n">
        <x:v>27379.127</x:v>
      </x:c>
      <x:c r="E7" s="8" t="n">
        <x:v>28109.581</x:v>
      </x:c>
      <x:c r="F7" s="8" t="n">
        <x:v>28839.841</x:v>
      </x:c>
      <x:c r="G7" s="8" t="n">
        <x:v>29569.933</x:v>
      </x:c>
      <x:c r="H7" s="8" t="n">
        <x:v>30299.876</x:v>
      </x:c>
      <x:c r="I7" s="8" t="n">
        <x:v>31029.689</x:v>
      </x:c>
      <x:c r="J7" s="8" t="n">
        <x:v>31759.385</x:v>
      </x:c>
      <x:c r="K7" s="8" t="n">
        <x:v>32488.978</x:v>
      </x:c>
      <x:c r="L7" s="8" t="n">
        <x:v>33218.478</x:v>
      </x:c>
      <x:c r="M7" s="8" t="n">
        <x:v>33947.896</x:v>
      </x:c>
      <x:c r="N7" s="8" t="n">
        <x:v>34677.24</x:v>
      </x:c>
      <x:c r="O7" s="8" t="n">
        <x:v>35406.518</x:v>
      </x:c>
      <x:c r="P7" s="8" t="n">
        <x:v>36135.735</x:v>
      </x:c>
      <x:c r="Q7" s="8" t="n">
        <x:v>36864.898</x:v>
      </x:c>
      <x:c r="R7" s="8" t="n">
        <x:v>37594.011</x:v>
      </x:c>
      <x:c r="S7" s="8" t="n">
        <x:v>38323.08</x:v>
      </x:c>
      <x:c r="T7" s="8" t="n">
        <x:v>39052.108</x:v>
      </x:c>
      <x:c r="U7" s="8" t="n">
        <x:v>39731.098</x:v>
      </x:c>
      <x:c r="V7" s="8" t="n">
        <x:v>40510.055</x:v>
      </x:c>
      <x:c r="W7" s="8" t="n">
        <x:v>41238.98</x:v>
      </x:c>
    </x:row>
    <x:row r="8" ht="21" customHeight="1">
      <x:c r="A8" s="8" t="n">
        <x:v>-85</x:v>
      </x:c>
      <x:c r="B8" s="8" t="n">
        <x:v>0.015</x:v>
      </x:c>
      <x:c r="C8" s="8" t="n">
        <x:v>17763.977</x:v>
      </x:c>
      <x:c r="D8" s="8" t="n">
        <x:v>18238.918</x:v>
      </x:c>
      <x:c r="E8" s="8" t="n">
        <x:v>18713.666</x:v>
      </x:c>
      <x:c r="F8" s="8" t="n">
        <x:v>19188.244</x:v>
      </x:c>
      <x:c r="G8" s="8" t="n">
        <x:v>19662.673</x:v>
      </x:c>
      <x:c r="H8" s="8" t="n">
        <x:v>20136.97</x:v>
      </x:c>
      <x:c r="I8" s="8" t="n">
        <x:v>20611.151</x:v>
      </x:c>
      <x:c r="J8" s="8" t="n">
        <x:v>21085.228</x:v>
      </x:c>
      <x:c r="K8" s="8" t="n">
        <x:v>21559.213</x:v>
      </x:c>
      <x:c r="L8" s="8" t="n">
        <x:v>22033.114</x:v>
      </x:c>
      <x:c r="M8" s="8" t="n">
        <x:v>22506.942</x:v>
      </x:c>
      <x:c r="N8" s="8" t="n">
        <x:v>22980.703</x:v>
      </x:c>
      <x:c r="O8" s="8" t="n">
        <x:v>23454.404</x:v>
      </x:c>
      <x:c r="P8" s="8" t="n">
        <x:v>23928.05</x:v>
      </x:c>
      <x:c r="Q8" s="8" t="n">
        <x:v>24401.646</x:v>
      </x:c>
      <x:c r="R8" s="8" t="n">
        <x:v>24875.198</x:v>
      </x:c>
      <x:c r="S8" s="8" t="n">
        <x:v>25348.709</x:v>
      </x:c>
      <x:c r="T8" s="8" t="n">
        <x:v>25822.183</x:v>
      </x:c>
      <x:c r="U8" s="8" t="n">
        <x:v>26295.622</x:v>
      </x:c>
      <x:c r="V8" s="8" t="n">
        <x:v>26769.03</x:v>
      </x:c>
      <x:c r="W8" s="8" t="n">
        <x:v>27242.409</x:v>
      </x:c>
    </x:row>
    <x:row r="9" ht="21" customHeight="1">
      <x:c r="A9" s="8" t="n">
        <x:v>-80</x:v>
      </x:c>
      <x:c r="B9" s="8" t="n">
        <x:v>0.023</x:v>
      </x:c>
      <x:c r="C9" s="8" t="n">
        <x:v>12139.727</x:v>
      </x:c>
      <x:c r="D9" s="8" t="n">
        <x:v>12456.595</x:v>
      </x:c>
      <x:c r="E9" s="8" t="n">
        <x:v>12773.292</x:v>
      </x:c>
      <x:c r="F9" s="8" t="n">
        <x:v>13089.839</x:v>
      </x:c>
      <x:c r="G9" s="8" t="n">
        <x:v>13406.253</x:v>
      </x:c>
      <x:c r="H9" s="8" t="n">
        <x:v>13722.55</x:v>
      </x:c>
      <x:c r="I9" s="8" t="n">
        <x:v>14038.743</x:v>
      </x:c>
      <x:c r="J9" s="8" t="n">
        <x:v>14354.844</x:v>
      </x:c>
      <x:c r="K9" s="8" t="n">
        <x:v>14670.861</x:v>
      </x:c>
      <x:c r="L9" s="8" t="n">
        <x:v>14986.803</x:v>
      </x:c>
      <x:c r="M9" s="8" t="n">
        <x:v>15302.679</x:v>
      </x:c>
      <x:c r="N9" s="8" t="n">
        <x:v>15618.494</x:v>
      </x:c>
      <x:c r="O9" s="8" t="n">
        <x:v>15934.255</x:v>
      </x:c>
      <x:c r="P9" s="8" t="n">
        <x:v>16249.966</x:v>
      </x:c>
      <x:c r="Q9" s="8" t="n">
        <x:v>16565.632</x:v>
      </x:c>
      <x:c r="R9" s="8" t="n">
        <x:v>16881.257</x:v>
      </x:c>
      <x:c r="S9" s="8" t="n">
        <x:v>17196.845</x:v>
      </x:c>
      <x:c r="T9" s="8" t="n">
        <x:v>17512.398</x:v>
      </x:c>
      <x:c r="U9" s="8" t="n">
        <x:v>17827.92</x:v>
      </x:c>
      <x:c r="V9" s="8" t="n">
        <x:v>18143.413</x:v>
      </x:c>
      <x:c r="W9" s="8" t="n">
        <x:v>18458.88</x:v>
      </x:c>
    </x:row>
    <x:row r="10" ht="21" customHeight="1">
      <x:c r="A10" s="8" t="n">
        <x:v>-75</x:v>
      </x:c>
      <x:c r="B10" s="8" t="n">
        <x:v>0.033</x:v>
      </x:c>
      <x:c r="C10" s="8" t="n">
        <x:v>8487.367</x:v>
      </x:c>
      <x:c r="D10" s="8" t="n">
        <x:v>8703.915</x:v>
      </x:c>
      <x:c r="E10" s="8" t="n">
        <x:v>8920.312</x:v>
      </x:c>
      <x:c r="F10" s="8" t="n">
        <x:v>9136.575</x:v>
      </x:c>
      <x:c r="G10" s="8" t="n">
        <x:v>9352.72</x:v>
      </x:c>
      <x:c r="H10" s="8" t="n">
        <x:v>9568.761</x:v>
      </x:c>
      <x:c r="I10" s="8" t="n">
        <x:v>9784.708</x:v>
      </x:c>
      <x:c r="J10" s="8" t="n">
        <x:v>10000.571</x:v>
      </x:c>
      <x:c r="K10" s="8" t="n">
        <x:v>10216.36</x:v>
      </x:c>
      <x:c r="L10" s="8" t="n">
        <x:v>10432.081</x:v>
      </x:c>
      <x:c r="M10" s="8" t="n">
        <x:v>10647.742</x:v>
      </x:c>
      <x:c r="N10" s="8" t="n">
        <x:v>10863.348</x:v>
      </x:c>
      <x:c r="O10" s="8" t="n">
        <x:v>11078.904</x:v>
      </x:c>
      <x:c r="P10" s="8" t="n">
        <x:v>11294.415</x:v>
      </x:c>
      <x:c r="Q10" s="8" t="n">
        <x:v>11509.884</x:v>
      </x:c>
      <x:c r="R10" s="8" t="n">
        <x:v>11725.317</x:v>
      </x:c>
      <x:c r="S10" s="8" t="n">
        <x:v>11940.715</x:v>
      </x:c>
      <x:c r="T10" s="8" t="n">
        <x:v>12156.031</x:v>
      </x:c>
      <x:c r="U10" s="8" t="n">
        <x:v>12371.419</x:v>
      </x:c>
      <x:c r="V10" s="8" t="n">
        <x:v>12586.73</x:v>
      </x:c>
      <x:c r="W10" s="8" t="n">
        <x:v>12802.017</x:v>
      </x:c>
    </x:row>
    <x:row r="11" ht="21" customHeight="1">
      <x:c r="A11" s="8" t="n">
        <x:v>-70</x:v>
      </x:c>
      <x:c r="B11" s="8" t="n">
        <x:v>0.048</x:v>
      </x:c>
      <x:c r="C11" s="8" t="n">
        <x:v>6059.201</x:v>
      </x:c>
      <x:c r="D11" s="8" t="n">
        <x:v>6210.515</x:v>
      </x:c>
      <x:c r="E11" s="8" t="n">
        <x:v>6361.694</x:v>
      </x:c>
      <x:c r="F11" s="8" t="n">
        <x:v>6512.753</x:v>
      </x:c>
      <x:c r="G11" s="8" t="n">
        <x:v>6663.707</x:v>
      </x:c>
      <x:c r="H11" s="8" t="n">
        <x:v>6814.566</x:v>
      </x:c>
      <x:c r="I11" s="8" t="n">
        <x:v>6965.342</x:v>
      </x:c>
      <x:c r="J11" s="8" t="n">
        <x:v>7116.042</x:v>
      </x:c>
      <x:c r="K11" s="8" t="n">
        <x:v>7266.674</x:v>
      </x:c>
      <x:c r="L11" s="8" t="n">
        <x:v>7417.245</x:v>
      </x:c>
      <x:c r="M11" s="8" t="n">
        <x:v>7567.761</x:v>
      </x:c>
      <x:c r="N11" s="8" t="n">
        <x:v>7718.227</x:v>
      </x:c>
      <x:c r="O11" s="8" t="n">
        <x:v>7868.648</x:v>
      </x:c>
      <x:c r="P11" s="8" t="n">
        <x:v>8019.028</x:v>
      </x:c>
      <x:c r="Q11" s="8" t="n">
        <x:v>8169.37</x:v>
      </x:c>
      <x:c r="R11" s="8" t="n">
        <x:v>8319.677</x:v>
      </x:c>
      <x:c r="S11" s="8" t="n">
        <x:v>8469.953</x:v>
      </x:c>
      <x:c r="T11" s="8" t="n">
        <x:v>8620.2</x:v>
      </x:c>
      <x:c r="U11" s="8" t="n">
        <x:v>8770.42</x:v>
      </x:c>
      <x:c r="V11" s="8" t="n">
        <x:v>8920.616</x:v>
      </x:c>
      <x:c r="W11" s="8" t="n">
        <x:v>9070.789</x:v>
      </x:c>
    </x:row>
    <x:row r="12" ht="21" customHeight="1">
      <x:c r="A12" s="8" t="n">
        <x:v>-65</x:v>
      </x:c>
      <x:c r="B12" s="8" t="n">
        <x:v>0.067</x:v>
      </x:c>
      <x:c r="C12" s="8" t="n">
        <x:v>4409.577</x:v>
      </x:c>
      <x:c r="D12" s="8" t="n">
        <x:v>4517.506</x:v>
      </x:c>
      <x:c r="E12" s="8" t="n">
        <x:v>4625.314</x:v>
      </x:c>
      <x:c r="F12" s="8" t="n">
        <x:v>4733.014</x:v>
      </x:c>
      <x:c r="G12" s="8" t="n">
        <x:v>4840.62</x:v>
      </x:c>
      <x:c r="H12" s="8" t="n">
        <x:v>4948.14</x:v>
      </x:c>
      <x:c r="I12" s="8" t="n">
        <x:v>5055.585</x:v>
      </x:c>
      <x:c r="J12" s="8" t="n">
        <x:v>5162.961</x:v>
      </x:c>
      <x:c r="K12" s="8" t="n">
        <x:v>5270.276</x:v>
      </x:c>
      <x:c r="L12" s="8" t="n">
        <x:v>5377.535</x:v>
      </x:c>
      <x:c r="M12" s="8" t="n">
        <x:v>5484.744</x:v>
      </x:c>
      <x:c r="N12" s="8" t="n">
        <x:v>5591.907</x:v>
      </x:c>
      <x:c r="O12" s="8" t="n">
        <x:v>5699.029</x:v>
      </x:c>
      <x:c r="P12" s="8" t="n">
        <x:v>5806.113</x:v>
      </x:c>
      <x:c r="Q12" s="8" t="n">
        <x:v>5913.163</x:v>
      </x:c>
      <x:c r="R12" s="8" t="n">
        <x:v>6020.18</x:v>
      </x:c>
      <x:c r="S12" s="8" t="n">
        <x:v>6127.169</x:v>
      </x:c>
      <x:c r="T12" s="8" t="n">
        <x:v>6234.131</x:v>
      </x:c>
      <x:c r="U12" s="8" t="n">
        <x:v>6341.068</x:v>
      </x:c>
      <x:c r="V12" s="8" t="n">
        <x:v>6447.983</x:v>
      </x:c>
      <x:c r="W12" s="8" t="n">
        <x:v>6554.876</x:v>
      </x:c>
    </x:row>
    <x:row r="13" ht="21" customHeight="1">
      <x:c r="A13" s="8" t="n">
        <x:v>-60</x:v>
      </x:c>
      <x:c r="B13" s="8" t="n">
        <x:v>0.093</x:v>
      </x:c>
      <x:c r="C13" s="8" t="n">
        <x:v>3266.233</x:v>
      </x:c>
      <x:c r="D13" s="8" t="n">
        <x:v>3344.701</x:v>
      </x:c>
      <x:c r="E13" s="8" t="n">
        <x:v>3423.059</x:v>
      </x:c>
      <x:c r="F13" s="8" t="n">
        <x:v>3501.321</x:v>
      </x:c>
      <x:c r="G13" s="8" t="n">
        <x:v>3579.497</x:v>
      </x:c>
      <x:c r="H13" s="8" t="n">
        <x:v>3657.596</x:v>
      </x:c>
      <x:c r="I13" s="8" t="n">
        <x:v>3735.626</x:v>
      </x:c>
      <x:c r="J13" s="8" t="n">
        <x:v>3813.594</x:v>
      </x:c>
      <x:c r="K13" s="8" t="n">
        <x:v>3891.506</x:v>
      </x:c>
      <x:c r="L13" s="8" t="n">
        <x:v>3969.367</x:v>
      </x:c>
      <x:c r="M13" s="8" t="n">
        <x:v>4047.182</x:v>
      </x:c>
      <x:c r="N13" s="8" t="n">
        <x:v>4124.956</x:v>
      </x:c>
      <x:c r="O13" s="8" t="n">
        <x:v>4202.691</x:v>
      </x:c>
      <x:c r="P13" s="8" t="n">
        <x:v>4280.392</x:v>
      </x:c>
      <x:c r="Q13" s="8" t="n">
        <x:v>4358.06</x:v>
      </x:c>
      <x:c r="R13" s="8" t="n">
        <x:v>4435.699</x:v>
      </x:c>
      <x:c r="S13" s="8" t="n">
        <x:v>4513.312</x:v>
      </x:c>
      <x:c r="T13" s="8" t="n">
        <x:v>4590.9</x:v>
      </x:c>
      <x:c r="U13" s="8" t="n">
        <x:v>4663.465</x:v>
      </x:c>
      <x:c r="V13" s="8" t="n">
        <x:v>4745.009</x:v>
      </x:c>
      <x:c r="W13" s="8" t="n">
        <x:v>4823.533</x:v>
      </x:c>
    </x:row>
    <x:row r="14" ht="21" customHeight="1">
      <x:c r="A14" s="8" t="n">
        <x:v>-55</x:v>
      </x:c>
      <x:c r="B14" s="8" t="n">
        <x:v>0.126</x:v>
      </x:c>
      <x:c r="C14" s="8" t="n">
        <x:v>2458.989</x:v>
      </x:c>
      <x:c r="D14" s="8" t="n">
        <x:v>2517.06</x:v>
      </x:c>
      <x:c r="E14" s="8" t="n">
        <x:v>2575.032</x:v>
      </x:c>
      <x:c r="F14" s="8" t="n">
        <x:v>2632.917</x:v>
      </x:c>
      <x:c r="G14" s="8" t="n">
        <x:v>2690.724</x:v>
      </x:c>
      <x:c r="H14" s="8" t="n">
        <x:v>2748.46</x:v>
      </x:c>
      <x:c r="I14" s="8" t="n">
        <x:v>2806.134</x:v>
      </x:c>
      <x:c r="J14" s="8" t="n">
        <x:v>2863.751</x:v>
      </x:c>
      <x:c r="K14" s="8" t="n">
        <x:v>2921.317</x:v>
      </x:c>
      <x:c r="L14" s="8" t="n">
        <x:v>2978.836</x:v>
      </x:c>
      <x:c r="M14" s="8" t="n">
        <x:v>3036.313</x:v>
      </x:c>
      <x:c r="N14" s="8" t="n">
        <x:v>3093.752</x:v>
      </x:c>
      <x:c r="O14" s="8" t="n">
        <x:v>3151.155</x:v>
      </x:c>
      <x:c r="P14" s="8" t="n">
        <x:v>3208.527</x:v>
      </x:c>
      <x:c r="Q14" s="8" t="n">
        <x:v>3265.869</x:v>
      </x:c>
      <x:c r="R14" s="8" t="n">
        <x:v>3323.183</x:v>
      </x:c>
      <x:c r="S14" s="8" t="n">
        <x:v>3380.474</x:v>
      </x:c>
      <x:c r="T14" s="8" t="n">
        <x:v>3437.741</x:v>
      </x:c>
      <x:c r="U14" s="8" t="n">
        <x:v>3494.987</x:v>
      </x:c>
      <x:c r="V14" s="8" t="n">
        <x:v>3552.213</x:v>
      </x:c>
      <x:c r="W14" s="8" t="n">
        <x:v>3609.421</x:v>
      </x:c>
    </x:row>
    <x:row r="15" ht="21" customHeight="1">
      <x:c r="A15" s="8" t="n">
        <x:v>-50</x:v>
      </x:c>
      <x:c r="B15" s="8" t="n">
        <x:v>0.168</x:v>
      </x:c>
      <x:c r="C15" s="8" t="n">
        <x:v>1879.188</x:v>
      </x:c>
      <x:c r="D15" s="8" t="n">
        <x:v>1922.882</x:v>
      </x:c>
      <x:c r="E15" s="8" t="n">
        <x:v>1966.486</x:v>
      </x:c>
      <x:c r="F15" s="8" t="n">
        <x:v>2010.01</x:v>
      </x:c>
      <x:c r="G15" s="8" t="n">
        <x:v>2053.463</x:v>
      </x:c>
      <x:c r="H15" s="8" t="n">
        <x:v>2096.852</x:v>
      </x:c>
      <x:c r="I15" s="8" t="n">
        <x:v>2140.183</x:v>
      </x:c>
      <x:c r="J15" s="8" t="n">
        <x:v>2183.463</x:v>
      </x:c>
      <x:c r="K15" s="8" t="n">
        <x:v>2226.695</x:v>
      </x:c>
      <x:c r="L15" s="8" t="n">
        <x:v>2269.885</x:v>
      </x:c>
      <x:c r="M15" s="8" t="n">
        <x:v>2313.035</x:v>
      </x:c>
      <x:c r="N15" s="8" t="n">
        <x:v>2356.151</x:v>
      </x:c>
      <x:c r="O15" s="8" t="n">
        <x:v>2399.234</x:v>
      </x:c>
      <x:c r="P15" s="8" t="n">
        <x:v>2442.287</x:v>
      </x:c>
      <x:c r="Q15" s="8" t="n">
        <x:v>2485.313</x:v>
      </x:c>
      <x:c r="R15" s="8" t="n">
        <x:v>2528.314</x:v>
      </x:c>
      <x:c r="S15" s="8" t="n">
        <x:v>2571.291</x:v>
      </x:c>
      <x:c r="T15" s="8" t="n">
        <x:v>2614.248</x:v>
      </x:c>
      <x:c r="U15" s="8" t="n">
        <x:v>2657.184</x:v>
      </x:c>
      <x:c r="V15" s="8" t="n">
        <x:v>2700.103</x:v>
      </x:c>
      <x:c r="W15" s="8" t="n">
        <x:v>2743.004</x:v>
      </x:c>
    </x:row>
    <x:row r="16" ht="21" customHeight="1">
      <x:c r="A16" s="8" t="n">
        <x:v>-45</x:v>
      </x:c>
      <x:c r="B16" s="8" t="n">
        <x:v>0.221</x:v>
      </x:c>
      <x:c r="C16" s="8" t="n">
        <x:v>1456.068</x:v>
      </x:c>
      <x:c r="D16" s="8" t="n">
        <x:v>1489.456</x:v>
      </x:c>
      <x:c r="E16" s="8" t="n">
        <x:v>1522.762</x:v>
      </x:c>
      <x:c r="F16" s="8" t="n">
        <x:v>1555.996</x:v>
      </x:c>
      <x:c r="G16" s="8" t="n">
        <x:v>1589.164</x:v>
      </x:c>
      <x:c r="H16" s="8" t="n">
        <x:v>1622.273</x:v>
      </x:c>
      <x:c r="I16" s="8" t="n">
        <x:v>1655.33</x:v>
      </x:c>
      <x:c r="J16" s="8" t="n">
        <x:v>1688.338</x:v>
      </x:c>
      <x:c r="K16" s="8" t="n">
        <x:v>1721.303</x:v>
      </x:c>
      <x:c r="L16" s="8" t="n">
        <x:v>1754.229</x:v>
      </x:c>
      <x:c r="M16" s="8" t="n">
        <x:v>1787.119</x:v>
      </x:c>
      <x:c r="N16" s="8" t="n">
        <x:v>1819.976</x:v>
      </x:c>
      <x:c r="O16" s="8" t="n">
        <x:v>1852.803</x:v>
      </x:c>
      <x:c r="P16" s="8" t="n">
        <x:v>1885.603</x:v>
      </x:c>
      <x:c r="Q16" s="8" t="n">
        <x:v>1918.377</x:v>
      </x:c>
      <x:c r="R16" s="8" t="n">
        <x:v>1951.128</x:v>
      </x:c>
      <x:c r="S16" s="8" t="n">
        <x:v>1983.857</x:v>
      </x:c>
      <x:c r="T16" s="8" t="n">
        <x:v>2016.567</x:v>
      </x:c>
      <x:c r="U16" s="8" t="n">
        <x:v>2049.258</x:v>
      </x:c>
      <x:c r="V16" s="8" t="n">
        <x:v>2081.932</x:v>
      </x:c>
      <x:c r="W16" s="8" t="n">
        <x:v>2114.59</x:v>
      </x:c>
    </x:row>
    <x:row r="17" ht="21" customHeight="1">
      <x:c r="A17" s="8" t="n">
        <x:v>-40</x:v>
      </x:c>
      <x:c r="B17" s="8" t="n">
        <x:v>0.287</x:v>
      </x:c>
      <x:c r="C17" s="8" t="n">
        <x:v>1142.688</x:v>
      </x:c>
      <x:c r="D17" s="8" t="n">
        <x:v>1168.573</x:v>
      </x:c>
      <x:c r="E17" s="8" t="n">
        <x:v>1194.384</x:v>
      </x:c>
      <x:c r="F17" s="8" t="n">
        <x:v>1220.127</x:v>
      </x:c>
      <x:c r="G17" s="8" t="n">
        <x:v>1245.81</x:v>
      </x:c>
      <x:c r="H17" s="8" t="n">
        <x:v>1271.439</x:v>
      </x:c>
      <x:c r="I17" s="8" t="n">
        <x:v>1297.019</x:v>
      </x:c>
      <x:c r="J17" s="8" t="n">
        <x:v>1322.555</x:v>
      </x:c>
      <x:c r="K17" s="8" t="n">
        <x:v>1348.05</x:v>
      </x:c>
      <x:c r="L17" s="8" t="n">
        <x:v>1373.51</x:v>
      </x:c>
      <x:c r="M17" s="8" t="n">
        <x:v>1398.936</x:v>
      </x:c>
      <x:c r="N17" s="8" t="n">
        <x:v>1424.331</x:v>
      </x:c>
      <x:c r="O17" s="8" t="n">
        <x:v>1449.699</x:v>
      </x:c>
      <x:c r="P17" s="8" t="n">
        <x:v>1475.041</x:v>
      </x:c>
      <x:c r="Q17" s="8" t="n">
        <x:v>1500.359</x:v>
      </x:c>
      <x:c r="R17" s="8" t="n">
        <x:v>1525.655</x:v>
      </x:c>
      <x:c r="S17" s="8" t="n">
        <x:v>1550.932</x:v>
      </x:c>
      <x:c r="T17" s="8" t="n">
        <x:v>1576.19</x:v>
      </x:c>
      <x:c r="U17" s="8" t="n">
        <x:v>1601.431</x:v>
      </x:c>
      <x:c r="V17" s="8" t="n">
        <x:v>1626.655</x:v>
      </x:c>
      <x:c r="W17" s="8" t="n">
        <x:v>1651.865</x:v>
      </x:c>
    </x:row>
    <x:row r="18" ht="21" customHeight="1">
      <x:c r="A18" s="8" t="n">
        <x:v>-35</x:v>
      </x:c>
      <x:c r="B18" s="8" t="n">
        <x:v>0.368</x:v>
      </x:c>
      <x:c r="C18" s="8" t="n">
        <x:v>907.371</x:v>
      </x:c>
      <x:c r="D18" s="8" t="n">
        <x:v>927.714</x:v>
      </x:c>
      <x:c r="E18" s="8" t="n">
        <x:v>947.987</x:v>
      </x:c>
      <x:c r="F18" s="8" t="n">
        <x:v>968.198</x:v>
      </x:c>
      <x:c r="G18" s="8" t="n">
        <x:v>988.354</x:v>
      </x:c>
      <x:c r="H18" s="8" t="n">
        <x:v>1008.46</x:v>
      </x:c>
      <x:c r="I18" s="8" t="n">
        <x:v>1028.521</x:v>
      </x:c>
      <x:c r="J18" s="8" t="n">
        <x:v>1048.54</x:v>
      </x:c>
      <x:c r="K18" s="8" t="n">
        <x:v>1068.522</x:v>
      </x:c>
      <x:c r="L18" s="8" t="n">
        <x:v>1088.471</x:v>
      </x:c>
      <x:c r="M18" s="8" t="n">
        <x:v>1108.388</x:v>
      </x:c>
      <x:c r="N18" s="8" t="n">
        <x:v>1128.277</x:v>
      </x:c>
      <x:c r="O18" s="8" t="n">
        <x:v>1148.14</x:v>
      </x:c>
      <x:c r="P18" s="8" t="n">
        <x:v>1167.979</x:v>
      </x:c>
      <x:c r="Q18" s="8" t="n">
        <x:v>1187.796</x:v>
      </x:c>
      <x:c r="R18" s="8" t="n">
        <x:v>1207.592</x:v>
      </x:c>
      <x:c r="S18" s="8" t="n">
        <x:v>1227.37</x:v>
      </x:c>
      <x:c r="T18" s="8" t="n">
        <x:v>1247.131</x:v>
      </x:c>
      <x:c r="U18" s="8" t="n">
        <x:v>1266.875</x:v>
      </x:c>
      <x:c r="V18" s="8" t="n">
        <x:v>1286.604</x:v>
      </x:c>
      <x:c r="W18" s="8" t="n">
        <x:v>1306.319</x:v>
      </x:c>
    </x:row>
    <x:row r="19" ht="21" customHeight="1">
      <x:c r="A19" s="8" t="n">
        <x:v>-30</x:v>
      </x:c>
      <x:c r="B19" s="8" t="n">
        <x:v>0.466</x:v>
      </x:c>
      <x:c r="C19" s="8" t="n">
        <x:v>728.391</x:v>
      </x:c>
      <x:c r="D19" s="8" t="n">
        <x:v>744.583</x:v>
      </x:c>
      <x:c r="E19" s="8" t="n">
        <x:v>760.711</x:v>
      </x:c>
      <x:c r="F19" s="8" t="n">
        <x:v>776.781</x:v>
      </x:c>
      <x:c r="G19" s="8" t="n">
        <x:v>792.8</x:v>
      </x:c>
      <x:c r="H19" s="8" t="n">
        <x:v>808.772</x:v>
      </x:c>
      <x:c r="I19" s="8" t="n">
        <x:v>824.702</x:v>
      </x:c>
      <x:c r="J19" s="8" t="n">
        <x:v>840.593</x:v>
      </x:c>
      <x:c r="K19" s="8" t="n">
        <x:v>856.45</x:v>
      </x:c>
      <x:c r="L19" s="8" t="n">
        <x:v>872.276</x:v>
      </x:c>
      <x:c r="M19" s="8" t="n">
        <x:v>888.072</x:v>
      </x:c>
      <x:c r="N19" s="8" t="n">
        <x:v>903.842</x:v>
      </x:c>
      <x:c r="O19" s="8" t="n">
        <x:v>919.587</x:v>
      </x:c>
      <x:c r="P19" s="8" t="n">
        <x:v>935.311</x:v>
      </x:c>
      <x:c r="Q19" s="8" t="n">
        <x:v>951.013</x:v>
      </x:c>
      <x:c r="R19" s="8" t="n">
        <x:v>966.697</x:v>
      </x:c>
      <x:c r="S19" s="8" t="n">
        <x:v>982.362</x:v>
      </x:c>
      <x:c r="T19" s="8" t="n">
        <x:v>998.012</x:v>
      </x:c>
      <x:c r="U19" s="8" t="n">
        <x:v>1013.646</x:v>
      </x:c>
      <x:c r="V19" s="8" t="n">
        <x:v>1029.266</x:v>
      </x:c>
      <x:c r="W19" s="8" t="n">
        <x:v>1044.873</x:v>
      </x:c>
    </x:row>
    <x:row r="20" ht="21" customHeight="1">
      <x:c r="A20" s="8" t="n">
        <x:v>-25</x:v>
      </x:c>
      <x:c r="B20" s="8" t="n">
        <x:v>0.584</x:v>
      </x:c>
      <x:c r="C20" s="8" t="n">
        <x:v>590.623</x:v>
      </x:c>
      <x:c r="D20" s="8" t="n">
        <x:v>603.667</x:v>
      </x:c>
      <x:c r="E20" s="8" t="n">
        <x:v>616.651</x:v>
      </x:c>
      <x:c r="F20" s="8" t="n">
        <x:v>629.581</x:v>
      </x:c>
      <x:c r="G20" s="8" t="n">
        <x:v>642.463</x:v>
      </x:c>
      <x:c r="H20" s="8" t="n">
        <x:v>655.302</x:v>
      </x:c>
      <x:c r="I20" s="8" t="n">
        <x:v>668.101</x:v>
      </x:c>
      <x:c r="J20" s="8" t="n">
        <x:v>680.864</x:v>
      </x:c>
      <x:c r="K20" s="8" t="n">
        <x:v>693.596</x:v>
      </x:c>
      <x:c r="L20" s="8" t="n">
        <x:v>706.297</x:v>
      </x:c>
      <x:c r="M20" s="8" t="n">
        <x:v>718.971</x:v>
      </x:c>
      <x:c r="N20" s="8" t="n">
        <x:v>731.621</x:v>
      </x:c>
      <x:c r="O20" s="8" t="n">
        <x:v>744.248</x:v>
      </x:c>
      <x:c r="P20" s="8" t="n">
        <x:v>756.853</x:v>
      </x:c>
      <x:c r="Q20" s="8" t="n">
        <x:v>769.44</x:v>
      </x:c>
      <x:c r="R20" s="8" t="n">
        <x:v>782.008</x:v>
      </x:c>
      <x:c r="S20" s="8" t="n">
        <x:v>794.56</x:v>
      </x:c>
      <x:c r="T20" s="8" t="n">
        <x:v>807.096</x:v>
      </x:c>
      <x:c r="U20" s="8" t="n">
        <x:v>819.618</x:v>
      </x:c>
      <x:c r="V20" s="8" t="n">
        <x:v>832.126</x:v>
      </x:c>
      <x:c r="W20" s="8" t="n">
        <x:v>844.623</x:v>
      </x:c>
    </x:row>
    <x:row r="21" ht="21" customHeight="1">
      <x:c r="A21" s="8" t="n">
        <x:v>-20</x:v>
      </x:c>
      <x:c r="B21" s="8" t="n">
        <x:v>0.725</x:v>
      </x:c>
      <x:c r="C21" s="8" t="n">
        <x:v>483.386</x:v>
      </x:c>
      <x:c r="D21" s="8" t="n">
        <x:v>494.013</x:v>
      </x:c>
      <x:c r="E21" s="8" t="n">
        <x:v>504.585</x:v>
      </x:c>
      <x:c r="F21" s="8" t="n">
        <x:v>515.106</x:v>
      </x:c>
      <x:c r="G21" s="8" t="n">
        <x:v>525.581</x:v>
      </x:c>
      <x:c r="H21" s="8" t="n">
        <x:v>536.016</x:v>
      </x:c>
      <x:c r="I21" s="8" t="n">
        <x:v>546.414</x:v>
      </x:c>
      <x:c r="J21" s="8" t="n">
        <x:v>556.779</x:v>
      </x:c>
      <x:c r="K21" s="8" t="n">
        <x:v>567.113</x:v>
      </x:c>
      <x:c r="L21" s="8" t="n">
        <x:v>577.419</x:v>
      </x:c>
      <x:c r="M21" s="8" t="n">
        <x:v>587.7</x:v>
      </x:c>
      <x:c r="N21" s="8" t="n">
        <x:v>597.958</x:v>
      </x:c>
      <x:c r="O21" s="8" t="n">
        <x:v>608.194</x:v>
      </x:c>
      <x:c r="P21" s="8" t="n">
        <x:v>618.41</x:v>
      </x:c>
      <x:c r="Q21" s="8" t="n">
        <x:v>628.608</x:v>
      </x:c>
      <x:c r="R21" s="8" t="n">
        <x:v>638.789</x:v>
      </x:c>
      <x:c r="S21" s="8" t="n">
        <x:v>648.954</x:v>
      </x:c>
      <x:c r="T21" s="8" t="n">
        <x:v>659.105</x:v>
      </x:c>
      <x:c r="U21" s="8" t="n">
        <x:v>669.242</x:v>
      </x:c>
      <x:c r="V21" s="8" t="n">
        <x:v>678.366</x:v>
      </x:c>
      <x:c r="W21" s="8" t="n">
        <x:v>689.479</x:v>
      </x:c>
    </x:row>
    <x:row r="22" ht="21" customHeight="1">
      <x:c r="A22" s="8" t="n">
        <x:v>-15</x:v>
      </x:c>
      <x:c r="B22" s="8" t="n">
        <x:v>0.891</x:v>
      </x:c>
      <x:c r="C22" s="8" t="n">
        <x:v>399.037</x:v>
      </x:c>
      <x:c r="D22" s="8" t="n">
        <x:v>407.789</x:v>
      </x:c>
      <x:c r="E22" s="8" t="n">
        <x:v>416.488</x:v>
      </x:c>
      <x:c r="F22" s="8" t="n">
        <x:v>425.139</x:v>
      </x:c>
      <x:c r="G22" s="8" t="n">
        <x:v>433.748</x:v>
      </x:c>
      <x:c r="H22" s="8" t="n">
        <x:v>442.319</x:v>
      </x:c>
      <x:c r="I22" s="8" t="n">
        <x:v>450.855</x:v>
      </x:c>
      <x:c r="J22" s="8" t="n">
        <x:v>459.359</x:v>
      </x:c>
      <x:c r="K22" s="8" t="n">
        <x:v>467.834</x:v>
      </x:c>
      <x:c r="L22" s="8" t="n">
        <x:v>476.284</x:v>
      </x:c>
      <x:c r="M22" s="8" t="n">
        <x:v>484.709</x:v>
      </x:c>
      <x:c r="N22" s="8" t="n">
        <x:v>493.112</x:v>
      </x:c>
      <x:c r="O22" s="8" t="n">
        <x:v>501.495</x:v>
      </x:c>
      <x:c r="P22" s="8" t="n">
        <x:v>509.859</x:v>
      </x:c>
      <x:c r="Q22" s="8" t="n">
        <x:v>518.206</x:v>
      </x:c>
      <x:c r="R22" s="8" t="n">
        <x:v>526.537</x:v>
      </x:c>
      <x:c r="S22" s="8" t="n">
        <x:v>534.853</x:v>
      </x:c>
      <x:c r="T22" s="8" t="n">
        <x:v>543.156</x:v>
      </x:c>
      <x:c r="U22" s="8" t="n">
        <x:v>551.445</x:v>
      </x:c>
      <x:c r="V22" s="8" t="n">
        <x:v>559.723</x:v>
      </x:c>
      <x:c r="W22" s="8" t="n">
        <x:v>567.989</x:v>
      </x:c>
    </x:row>
    <x:row r="23" ht="21" customHeight="1">
      <x:c r="A23" s="8" t="n">
        <x:v>-11.76</x:v>
      </x:c>
      <x:c r="B23" s="8" t="n">
        <x:v>1.013</x:v>
      </x:c>
      <x:c r="C23" s="8" t="n">
        <x:v>353.863</x:v>
      </x:c>
      <x:c r="D23" s="8" t="n">
        <x:v>361.621</x:v>
      </x:c>
      <x:c r="E23" s="8" t="n">
        <x:v>369.328</x:v>
      </x:c>
      <x:c r="F23" s="8" t="n">
        <x:v>376.989</x:v>
      </x:c>
      <x:c r="G23" s="8" t="n">
        <x:v>384.609</x:v>
      </x:c>
      <x:c r="H23" s="8" t="n">
        <x:v>392.192</x:v>
      </x:c>
      <x:c r="I23" s="8" t="n">
        <x:v>399.742</x:v>
      </x:c>
      <x:c r="J23" s="8" t="n">
        <x:v>407.261</x:v>
      </x:c>
      <x:c r="K23" s="8" t="n">
        <x:v>414.753</x:v>
      </x:c>
      <x:c r="L23" s="8" t="n">
        <x:v>422.219</x:v>
      </x:c>
      <x:c r="M23" s="8" t="n">
        <x:v>429.662</x:v>
      </x:c>
      <x:c r="N23" s="8" t="n">
        <x:v>437.083</x:v>
      </x:c>
      <x:c r="O23" s="8" t="n">
        <x:v>444.486</x:v>
      </x:c>
      <x:c r="P23" s="8" t="n">
        <x:v>451.87</x:v>
      </x:c>
      <x:c r="Q23" s="8" t="n">
        <x:v>459.237</x:v>
      </x:c>
      <x:c r="R23" s="8" t="n">
        <x:v>466.589</x:v>
      </x:c>
      <x:c r="S23" s="8" t="n">
        <x:v>473.927</x:v>
      </x:c>
      <x:c r="T23" s="8" t="n">
        <x:v>481.251</x:v>
      </x:c>
      <x:c r="U23" s="8" t="n">
        <x:v>488.563</x:v>
      </x:c>
      <x:c r="V23" s="8" t="n">
        <x:v>496.363</x:v>
      </x:c>
      <x:c r="W23" s="8" t="n">
        <x:v>503.153</x:v>
      </x:c>
    </x:row>
    <x:row r="24" ht="21" customHeight="1">
      <x:c r="A24" s="8" t="n">
        <x:v>-10</x:v>
      </x:c>
      <x:c r="B24" s="8" t="n">
        <x:v>1.085</x:v>
      </x:c>
      <x:c r="C24" s="8" t="n">
        <x:v>332.039</x:v>
      </x:c>
      <x:c r="D24" s="8" t="n">
        <x:v>339.32</x:v>
      </x:c>
      <x:c r="E24" s="8" t="n">
        <x:v>346.551</x:v>
      </x:c>
      <x:c r="F24" s="8" t="n">
        <x:v>353.736</x:v>
      </x:c>
      <x:c r="G24" s="8" t="n">
        <x:v>360.882</x:v>
      </x:c>
      <x:c r="H24" s="8" t="n">
        <x:v>367.991</x:v>
      </x:c>
      <x:c r="I24" s="8" t="n">
        <x:v>375.067</x:v>
      </x:c>
      <x:c r="J24" s="8" t="n">
        <x:v>382.113</x:v>
      </x:c>
      <x:c r="K24" s="8" t="n">
        <x:v>389.133</x:v>
      </x:c>
      <x:c r="L24" s="8" t="n">
        <x:v>396.127</x:v>
      </x:c>
      <x:c r="M24" s="8" t="n">
        <x:v>403.099</x:v>
      </x:c>
      <x:c r="N24" s="8" t="n">
        <x:v>410.049</x:v>
      </x:c>
      <x:c r="O24" s="8" t="n">
        <x:v>416.981</x:v>
      </x:c>
      <x:c r="P24" s="8" t="n">
        <x:v>423.895</x:v>
      </x:c>
      <x:c r="Q24" s="8" t="n">
        <x:v>430.792</x:v>
      </x:c>
      <x:c r="R24" s="8" t="n">
        <x:v>437.674</x:v>
      </x:c>
      <x:c r="S24" s="8" t="n">
        <x:v>444.543</x:v>
      </x:c>
      <x:c r="T24" s="8" t="n">
        <x:v>451.398</x:v>
      </x:c>
      <x:c r="U24" s="8" t="n">
        <x:v>458.241</x:v>
      </x:c>
      <x:c r="V24" s="8" t="n">
        <x:v>465.073</x:v>
      </x:c>
      <x:c r="W24" s="8" t="n">
        <x:v>471.894</x:v>
      </x:c>
    </x:row>
    <x:row r="25" ht="21" customHeight="1">
      <x:c r="A25" s="8" t="n">
        <x:v>-5</x:v>
      </x:c>
      <x:c r="B25" s="8" t="n">
        <x:v>1.31</x:v>
      </x:c>
      <x:c r="C25" s="8" t="n">
        <x:v>278.333</x:v>
      </x:c>
      <x:c r="D25" s="8" t="n">
        <x:v>284.449</x:v>
      </x:c>
      <x:c r="E25" s="8" t="n">
        <x:v>290.516</x:v>
      </x:c>
      <x:c r="F25" s="8" t="n">
        <x:v>296.541</x:v>
      </x:c>
      <x:c r="G25" s="8" t="n">
        <x:v>302.528</x:v>
      </x:c>
      <x:c r="H25" s="8" t="n">
        <x:v>308.48</x:v>
      </x:c>
      <x:c r="I25" s="8" t="n">
        <x:v>314.401</x:v>
      </x:c>
      <x:c r="J25" s="8" t="n">
        <x:v>320.294</x:v>
      </x:c>
      <x:c r="K25" s="8" t="n">
        <x:v>326.161</x:v>
      </x:c>
      <x:c r="L25" s="8" t="n">
        <x:v>332.004</x:v>
      </x:c>
      <x:c r="M25" s="8" t="n">
        <x:v>337.825</x:v>
      </x:c>
      <x:c r="N25" s="8" t="n">
        <x:v>343.627</x:v>
      </x:c>
      <x:c r="O25" s="8" t="n">
        <x:v>349.411</x:v>
      </x:c>
      <x:c r="P25" s="8" t="n">
        <x:v>355.178</x:v>
      </x:c>
      <x:c r="Q25" s="8" t="n">
        <x:v>360.929</x:v>
      </x:c>
      <x:c r="R25" s="8" t="n">
        <x:v>366.666</x:v>
      </x:c>
      <x:c r="S25" s="8" t="n">
        <x:v>372.389</x:v>
      </x:c>
      <x:c r="T25" s="8" t="n">
        <x:v>378.1</x:v>
      </x:c>
      <x:c r="U25" s="8" t="n">
        <x:v>383.799</x:v>
      </x:c>
      <x:c r="V25" s="8" t="n">
        <x:v>389.488</x:v>
      </x:c>
      <x:c r="W25" s="8" t="n">
        <x:v>395.167</x:v>
      </x:c>
    </x:row>
    <x:row r="26" ht="21" customHeight="1">
      <x:c r="A26" s="8" t="n">
        <x:v>0</x:v>
      </x:c>
      <x:c r="B26" s="8" t="n">
        <x:v>1.57</x:v>
      </x:c>
      <x:c r="C26" s="8" t="n">
        <x:v>234.91</x:v>
      </x:c>
      <x:c r="D26" s="8" t="n">
        <x:v>240.094</x:v>
      </x:c>
      <x:c r="E26" s="8" t="n">
        <x:v>245.232</x:v>
      </x:c>
      <x:c r="F26" s="8" t="n">
        <x:v>250.329</x:v>
      </x:c>
      <x:c r="G26" s="8" t="n">
        <x:v>255.39</x:v>
      </x:c>
      <x:c r="H26" s="8" t="n">
        <x:v>260.418</x:v>
      </x:c>
      <x:c r="I26" s="8" t="n">
        <x:v>265.416</x:v>
      </x:c>
      <x:c r="J26" s="8" t="n">
        <x:v>270.387</x:v>
      </x:c>
      <x:c r="K26" s="8" t="n">
        <x:v>275.334</x:v>
      </x:c>
      <x:c r="L26" s="8" t="n">
        <x:v>280.258</x:v>
      </x:c>
      <x:c r="M26" s="8" t="n">
        <x:v>285.161</x:v>
      </x:c>
      <x:c r="N26" s="8" t="n">
        <x:v>290.046</x:v>
      </x:c>
      <x:c r="O26" s="8" t="n">
        <x:v>294.913</x:v>
      </x:c>
      <x:c r="P26" s="8" t="n">
        <x:v>299.764</x:v>
      </x:c>
      <x:c r="Q26" s="8" t="n">
        <x:v>304.6</x:v>
      </x:c>
      <x:c r="R26" s="8" t="n">
        <x:v>309.423</x:v>
      </x:c>
      <x:c r="S26" s="8" t="n">
        <x:v>314.232</x:v>
      </x:c>
      <x:c r="T26" s="8" t="n">
        <x:v>319.03</x:v>
      </x:c>
      <x:c r="U26" s="8" t="n">
        <x:v>323.817</x:v>
      </x:c>
      <x:c r="V26" s="8" t="n">
        <x:v>328.594</x:v>
      </x:c>
      <x:c r="W26" s="8" t="n">
        <x:v>333.361</x:v>
      </x:c>
    </x:row>
    <x:row r="27" ht="21" customHeight="1">
      <x:c r="A27" s="8" t="n">
        <x:v>5</x:v>
      </x:c>
      <x:c r="B27" s="8" t="n">
        <x:v>1.867</x:v>
      </x:c>
      <x:c r="C27" s="8" t="n">
        <x:v>199.515</x:v>
      </x:c>
      <x:c r="D27" s="8" t="n">
        <x:v>203.948</x:v>
      </x:c>
      <x:c r="E27" s="8" t="n">
        <x:v>208.336</x:v>
      </x:c>
      <x:c r="F27" s="8" t="n">
        <x:v>212.686</x:v>
      </x:c>
      <x:c r="G27" s="8" t="n">
        <x:v>217.001</x:v>
      </x:c>
      <x:c r="H27" s="8" t="n">
        <x:v>221.284</x:v>
      </x:c>
      <x:c r="I27" s="8" t="n">
        <x:v>225.538</x:v>
      </x:c>
      <x:c r="J27" s="8" t="n">
        <x:v>229.767</x:v>
      </x:c>
      <x:c r="K27" s="8" t="n">
        <x:v>233.972</x:v>
      </x:c>
      <x:c r="L27" s="8" t="n">
        <x:v>238.155</x:v>
      </x:c>
      <x:c r="M27" s="8" t="n">
        <x:v>242.319</x:v>
      </x:c>
      <x:c r="N27" s="8" t="n">
        <x:v>246.465</x:v>
      </x:c>
      <x:c r="O27" s="8" t="n">
        <x:v>250.594</x:v>
      </x:c>
      <x:c r="P27" s="8" t="n">
        <x:v>254.708</x:v>
      </x:c>
      <x:c r="Q27" s="8" t="n">
        <x:v>258.808</x:v>
      </x:c>
      <x:c r="R27" s="8" t="n">
        <x:v>262.895</x:v>
      </x:c>
      <x:c r="S27" s="8" t="n">
        <x:v>266.969</x:v>
      </x:c>
      <x:c r="T27" s="8" t="n">
        <x:v>271.032</x:v>
      </x:c>
      <x:c r="U27" s="8" t="n">
        <x:v>275.085</x:v>
      </x:c>
      <x:c r="V27" s="8" t="n">
        <x:v>279.127</x:v>
      </x:c>
      <x:c r="W27" s="8" t="n">
        <x:v>283.161</x:v>
      </x:c>
    </x:row>
    <x:row r="28" ht="21" customHeight="1">
      <x:c r="A28" s="8" t="n">
        <x:v>10</x:v>
      </x:c>
      <x:c r="B28" s="8" t="n">
        <x:v>2.206</x:v>
      </x:c>
      <x:c r="C28" s="8" t="n">
        <x:v>170.445</x:v>
      </x:c>
      <x:c r="D28" s="8" t="n">
        <x:v>174.267</x:v>
      </x:c>
      <x:c r="E28" s="8" t="n">
        <x:v>178.046</x:v>
      </x:c>
      <x:c r="F28" s="8" t="n">
        <x:v>181.788</x:v>
      </x:c>
      <x:c r="G28" s="8" t="n">
        <x:v>185.496</x:v>
      </x:c>
      <x:c r="H28" s="8" t="n">
        <x:v>189.174</x:v>
      </x:c>
      <x:c r="I28" s="8" t="n">
        <x:v>192.824</x:v>
      </x:c>
      <x:c r="J28" s="8" t="n">
        <x:v>196.45</x:v>
      </x:c>
      <x:c r="K28" s="8" t="n">
        <x:v>200.053</x:v>
      </x:c>
      <x:c r="L28" s="8" t="n">
        <x:v>203.635</x:v>
      </x:c>
      <x:c r="M28" s="8" t="n">
        <x:v>207.198</x:v>
      </x:c>
      <x:c r="N28" s="8" t="n">
        <x:v>210.744</x:v>
      </x:c>
      <x:c r="O28" s="8" t="n">
        <x:v>214.274</x:v>
      </x:c>
      <x:c r="P28" s="8" t="n">
        <x:v>217.79</x:v>
      </x:c>
      <x:c r="Q28" s="8" t="n">
        <x:v>221.292</x:v>
      </x:c>
      <x:c r="R28" s="8" t="n">
        <x:v>224.781</x:v>
      </x:c>
      <x:c r="S28" s="8" t="n">
        <x:v>228.258</x:v>
      </x:c>
      <x:c r="T28" s="8" t="n">
        <x:v>231.725</x:v>
      </x:c>
      <x:c r="U28" s="8" t="n">
        <x:v>235.182</x:v>
      </x:c>
      <x:c r="V28" s="8" t="n">
        <x:v>238.629</x:v>
      </x:c>
      <x:c r="W28" s="8" t="n">
        <x:v>242.067</x:v>
      </x:c>
    </x:row>
    <x:row r="29" ht="21" customHeight="1">
      <x:c r="A29" s="8" t="n">
        <x:v>15</x:v>
      </x:c>
      <x:c r="B29" s="8" t="n">
        <x:v>2.59</x:v>
      </x:c>
      <x:c r="C29" s="8" t="n">
        <x:v>146.396</x:v>
      </x:c>
      <x:c r="D29" s="8" t="n">
        <x:v>149.718</x:v>
      </x:c>
      <x:c r="E29" s="8" t="n">
        <x:v>152.999</x:v>
      </x:c>
      <x:c r="F29" s="8" t="n">
        <x:v>156.243</x:v>
      </x:c>
      <x:c r="G29" s="8" t="n">
        <x:v>159.455</x:v>
      </x:c>
      <x:c r="H29" s="8" t="n">
        <x:v>162.637</x:v>
      </x:c>
      <x:c r="I29" s="8" t="n">
        <x:v>165.793</x:v>
      </x:c>
      <x:c r="J29" s="8" t="n">
        <x:v>168.925</x:v>
      </x:c>
      <x:c r="K29" s="8" t="n">
        <x:v>172.035</x:v>
      </x:c>
      <x:c r="L29" s="8" t="n">
        <x:v>175.125</x:v>
      </x:c>
      <x:c r="M29" s="8" t="n">
        <x:v>178.197</x:v>
      </x:c>
      <x:c r="N29" s="8" t="n">
        <x:v>181.252</x:v>
      </x:c>
      <x:c r="O29" s="8" t="n">
        <x:v>184.292</x:v>
      </x:c>
      <x:c r="P29" s="8" t="n">
        <x:v>187.318</x:v>
      </x:c>
      <x:c r="Q29" s="8" t="n">
        <x:v>190.33</x:v>
      </x:c>
      <x:c r="R29" s="8" t="n">
        <x:v>193.331</x:v>
      </x:c>
      <x:c r="S29" s="8" t="n">
        <x:v>196.32</x:v>
      </x:c>
      <x:c r="T29" s="8" t="n">
        <x:v>199.299</x:v>
      </x:c>
      <x:c r="U29" s="8" t="n">
        <x:v>202.269</x:v>
      </x:c>
      <x:c r="V29" s="8" t="n">
        <x:v>205.229</x:v>
      </x:c>
      <x:c r="W29" s="8" t="n">
        <x:v>208.18</x:v>
      </x:c>
    </x:row>
    <x:row r="30" ht="21" customHeight="1">
      <x:c r="A30" s="8" t="n">
        <x:v>20</x:v>
      </x:c>
      <x:c r="B30" s="8" t="n">
        <x:v>3.022</x:v>
      </x:c>
      <x:c r="C30" s="8" t="n">
        <x:v>126.367</x:v>
      </x:c>
      <x:c r="D30" s="8" t="n">
        <x:v>129.277</x:v>
      </x:c>
      <x:c r="E30" s="8" t="n">
        <x:v>132.147</x:v>
      </x:c>
      <x:c r="F30" s="8" t="n">
        <x:v>134.981</x:v>
      </x:c>
      <x:c r="G30" s="8" t="n">
        <x:v>137.783</x:v>
      </x:c>
      <x:c r="H30" s="8" t="n">
        <x:v>140.556</x:v>
      </x:c>
      <x:c r="I30" s="8" t="n">
        <x:v>143.304</x:v>
      </x:c>
      <x:c r="J30" s="8" t="n">
        <x:v>146.029</x:v>
      </x:c>
      <x:c r="K30" s="8" t="n">
        <x:v>148.733</x:v>
      </x:c>
      <x:c r="L30" s="8" t="n">
        <x:v>151.417</x:v>
      </x:c>
      <x:c r="M30" s="8" t="n">
        <x:v>154.084</x:v>
      </x:c>
      <x:c r="N30" s="8" t="n">
        <x:v>156.734</x:v>
      </x:c>
      <x:c r="O30" s="8" t="n">
        <x:v>159.37</x:v>
      </x:c>
      <x:c r="P30" s="8" t="n">
        <x:v>161.993</x:v>
      </x:c>
      <x:c r="Q30" s="8" t="n">
        <x:v>164.602</x:v>
      </x:c>
      <x:c r="R30" s="8" t="n">
        <x:v>167.201</x:v>
      </x:c>
      <x:c r="S30" s="8" t="n">
        <x:v>169.788</x:v>
      </x:c>
      <x:c r="T30" s="8" t="n">
        <x:v>172.365</x:v>
      </x:c>
      <x:c r="U30" s="8" t="n">
        <x:v>174.933</x:v>
      </x:c>
      <x:c r="V30" s="8" t="n">
        <x:v>177.492</x:v>
      </x:c>
      <x:c r="W30" s="8" t="n">
        <x:v>180.042</x:v>
      </x:c>
    </x:row>
    <x:row r="31" ht="21" customHeight="1">
      <x:c r="A31" s="8" t="n">
        <x:v>25</x:v>
      </x:c>
      <x:c r="B31" s="8" t="n">
        <x:v>3.507</x:v>
      </x:c>
      <x:c r="C31" s="8" t="n">
        <x:v>109.579</x:v>
      </x:c>
      <x:c r="D31" s="8" t="n">
        <x:v>112.147</x:v>
      </x:c>
      <x:c r="E31" s="8" t="n">
        <x:v>114.675</x:v>
      </x:c>
      <x:c r="F31" s="8" t="n">
        <x:v>117.469</x:v>
      </x:c>
      <x:c r="G31" s="8" t="n">
        <x:v>119.631</x:v>
      </x:c>
      <x:c r="H31" s="8" t="n">
        <x:v>122.065</x:v>
      </x:c>
      <x:c r="I31" s="8" t="n">
        <x:v>124.474</x:v>
      </x:c>
      <x:c r="J31" s="8" t="n">
        <x:v>126.861</x:v>
      </x:c>
      <x:c r="K31" s="8" t="n">
        <x:v>129.227</x:v>
      </x:c>
      <x:c r="L31" s="8" t="n">
        <x:v>131.575</x:v>
      </x:c>
      <x:c r="M31" s="8" t="n">
        <x:v>133.905</x:v>
      </x:c>
      <x:c r="N31" s="8" t="n">
        <x:v>136.22</x:v>
      </x:c>
      <x:c r="O31" s="8" t="n">
        <x:v>138.521</x:v>
      </x:c>
      <x:c r="P31" s="8" t="n">
        <x:v>140.809</x:v>
      </x:c>
      <x:c r="Q31" s="8" t="n">
        <x:v>143.084</x:v>
      </x:c>
      <x:c r="R31" s="8" t="n">
        <x:v>145.348</x:v>
      </x:c>
      <x:c r="S31" s="8" t="n">
        <x:v>147.602</x:v>
      </x:c>
      <x:c r="T31" s="8" t="n">
        <x:v>149.846</x:v>
      </x:c>
      <x:c r="U31" s="8" t="n">
        <x:v>152.08</x:v>
      </x:c>
      <x:c r="V31" s="8" t="n">
        <x:v>154.307</x:v>
      </x:c>
      <x:c r="W31" s="8" t="n">
        <x:v>156.525</x:v>
      </x:c>
    </x:row>
    <x:row r="32" ht="21" customHeight="1">
      <x:c r="A32" s="8" t="n">
        <x:v>30</x:v>
      </x:c>
      <x:c r="B32" s="8" t="n">
        <x:v>4.047</x:v>
      </x:c>
      <x:c r="C32" s="8" t="n">
        <x:v>95.422</x:v>
      </x:c>
      <x:c r="D32" s="8" t="n">
        <x:v>97.704</x:v>
      </x:c>
      <x:c r="E32" s="8" t="n">
        <x:v>99.947</x:v>
      </x:c>
      <x:c r="F32" s="8" t="n">
        <x:v>102.156</x:v>
      </x:c>
      <x:c r="G32" s="8" t="n">
        <x:v>104.335</x:v>
      </x:c>
      <x:c r="H32" s="8" t="n">
        <x:v>106.486</x:v>
      </x:c>
      <x:c r="I32" s="8" t="n">
        <x:v>108.612</x:v>
      </x:c>
      <x:c r="J32" s="8" t="n">
        <x:v>110.716</x:v>
      </x:c>
      <x:c r="K32" s="8" t="n">
        <x:v>112.801</x:v>
      </x:c>
      <x:c r="L32" s="8" t="n">
        <x:v>114.867</x:v>
      </x:c>
      <x:c r="M32" s="8" t="n">
        <x:v>116.917</x:v>
      </x:c>
      <x:c r="N32" s="8" t="n">
        <x:v>118.951</x:v>
      </x:c>
      <x:c r="O32" s="8" t="n">
        <x:v>120.972</x:v>
      </x:c>
      <x:c r="P32" s="8" t="n">
        <x:v>122.98</x:v>
      </x:c>
      <x:c r="Q32" s="8" t="n">
        <x:v>124.976</x:v>
      </x:c>
      <x:c r="R32" s="8" t="n">
        <x:v>126.961</x:v>
      </x:c>
      <x:c r="S32" s="8" t="n">
        <x:v>128.936</x:v>
      </x:c>
      <x:c r="T32" s="8" t="n">
        <x:v>130.902</x:v>
      </x:c>
      <x:c r="U32" s="8" t="n">
        <x:v>132.853</x:v>
      </x:c>
      <x:c r="V32" s="8" t="n">
        <x:v>134.807</x:v>
      </x:c>
      <x:c r="W32" s="8" t="n">
        <x:v>136.748</x:v>
      </x:c>
    </x:row>
    <x:row r="33" ht="21" customHeight="1">
      <x:c r="A33" s="8" t="n">
        <x:v>35</x:v>
      </x:c>
      <x:c r="B33" s="8" t="n">
        <x:v>4.648</x:v>
      </x:c>
      <x:c r="C33" s="8" t="n">
        <x:v>83.414</x:v>
      </x:c>
      <x:c r="D33" s="8" t="n">
        <x:v>85.457</x:v>
      </x:c>
      <x:c r="E33" s="8" t="n">
        <x:v>87.461</x:v>
      </x:c>
      <x:c r="F33" s="8" t="n">
        <x:v>89.431</x:v>
      </x:c>
      <x:c r="G33" s="8" t="n">
        <x:v>91.371</x:v>
      </x:c>
      <x:c r="H33" s="8" t="n">
        <x:v>93.284</x:v>
      </x:c>
      <x:c r="I33" s="8" t="n">
        <x:v>95.173</x:v>
      </x:c>
      <x:c r="J33" s="8" t="n">
        <x:v>97.04</x:v>
      </x:c>
      <x:c r="K33" s="8" t="n">
        <x:v>98.887</x:v>
      </x:c>
      <x:c r="L33" s="8" t="n">
        <x:v>100.717</x:v>
      </x:c>
      <x:c r="M33" s="8" t="n">
        <x:v>102.531</x:v>
      </x:c>
      <x:c r="N33" s="8" t="n">
        <x:v>104.33</x:v>
      </x:c>
      <x:c r="O33" s="8" t="n">
        <x:v>106.115</x:v>
      </x:c>
      <x:c r="P33" s="8" t="n">
        <x:v>107.888</x:v>
      </x:c>
      <x:c r="Q33" s="8" t="n">
        <x:v>109.65</x:v>
      </x:c>
      <x:c r="R33" s="8" t="n">
        <x:v>111.401</x:v>
      </x:c>
      <x:c r="S33" s="8" t="n">
        <x:v>113.142</x:v>
      </x:c>
      <x:c r="T33" s="8" t="n">
        <x:v>114.873</x:v>
      </x:c>
      <x:c r="U33" s="8" t="n">
        <x:v>116.597</x:v>
      </x:c>
      <x:c r="V33" s="8" t="n">
        <x:v>118.312</x:v>
      </x:c>
      <x:c r="W33" s="8" t="n">
        <x:v>120.02</x:v>
      </x:c>
    </x:row>
    <x:row r="34" ht="21" customHeight="1">
      <x:c r="A34" s="8" t="n">
        <x:v>40</x:v>
      </x:c>
      <x:c r="B34" s="8" t="n">
        <x:v>5.312</x:v>
      </x:c>
      <x:c r="C34" s="8" t="n">
        <x:v>73.174</x:v>
      </x:c>
      <x:c r="D34" s="8" t="n">
        <x:v>75.016</x:v>
      </x:c>
      <x:c r="E34" s="8" t="n">
        <x:v>76.818</x:v>
      </x:c>
      <x:c r="F34" s="8" t="n">
        <x:v>78.586</x:v>
      </x:c>
      <x:c r="G34" s="8" t="n">
        <x:v>80.325</x:v>
      </x:c>
      <x:c r="H34" s="8" t="n">
        <x:v>82.036</x:v>
      </x:c>
      <x:c r="I34" s="8" t="n">
        <x:v>83.724</x:v>
      </x:c>
      <x:c r="J34" s="8" t="n">
        <x:v>85.391</x:v>
      </x:c>
      <x:c r="K34" s="8" t="n">
        <x:v>87.038</x:v>
      </x:c>
      <x:c r="L34" s="8" t="n">
        <x:v>88.668</x:v>
      </x:c>
      <x:c r="M34" s="8" t="n">
        <x:v>90.283</x:v>
      </x:c>
      <x:c r="N34" s="8" t="n">
        <x:v>91.883</x:v>
      </x:c>
      <x:c r="O34" s="8" t="n">
        <x:v>93.469</x:v>
      </x:c>
      <x:c r="P34" s="8" t="n">
        <x:v>95.043</x:v>
      </x:c>
      <x:c r="Q34" s="8" t="n">
        <x:v>96.607</x:v>
      </x:c>
      <x:c r="R34" s="8" t="n">
        <x:v>98.159</x:v>
      </x:c>
      <x:c r="S34" s="8" t="n">
        <x:v>99.702</x:v>
      </x:c>
      <x:c r="T34" s="8" t="n">
        <x:v>101.237</x:v>
      </x:c>
      <x:c r="U34" s="8" t="n">
        <x:v>102.762</x:v>
      </x:c>
      <x:c r="V34" s="8" t="n">
        <x:v>104.28</x:v>
      </x:c>
      <x:c r="W34" s="8" t="n">
        <x:v>105.791</x:v>
      </x:c>
    </x:row>
    <x:row r="35" ht="21" customHeight="1">
      <x:c r="A35" s="8" t="n">
        <x:v>45</x:v>
      </x:c>
      <x:c r="B35" s="8" t="n">
        <x:v>6.044</x:v>
      </x:c>
      <x:c r="C35" s="8" t="n">
        <x:v>64.396</x:v>
      </x:c>
      <x:c r="D35" s="8" t="n">
        <x:v>66.067</x:v>
      </x:c>
      <x:c r="E35" s="8" t="n">
        <x:v>67.699</x:v>
      </x:c>
      <x:c r="F35" s="8" t="n">
        <x:v>69.296</x:v>
      </x:c>
      <x:c r="G35" s="8" t="n">
        <x:v>70.863</x:v>
      </x:c>
      <x:c r="H35" s="8" t="n">
        <x:v>72.404</x:v>
      </x:c>
      <x:c r="I35" s="8" t="n">
        <x:v>73.922</x:v>
      </x:c>
      <x:c r="J35" s="8" t="n">
        <x:v>75.418</x:v>
      </x:c>
      <x:c r="K35" s="8" t="n">
        <x:v>76.895</x:v>
      </x:c>
      <x:c r="L35" s="8" t="n">
        <x:v>78.356</x:v>
      </x:c>
      <x:c r="M35" s="8" t="n">
        <x:v>79.801</x:v>
      </x:c>
      <x:c r="N35" s="8" t="n">
        <x:v>81.231</x:v>
      </x:c>
      <x:c r="O35" s="8" t="n">
        <x:v>82.649</x:v>
      </x:c>
      <x:c r="P35" s="8" t="n">
        <x:v>84.054</x:v>
      </x:c>
      <x:c r="Q35" s="8" t="n">
        <x:v>85.449</x:v>
      </x:c>
      <x:c r="R35" s="8" t="n">
        <x:v>86.833</x:v>
      </x:c>
      <x:c r="S35" s="8" t="n">
        <x:v>88.208</x:v>
      </x:c>
      <x:c r="T35" s="8" t="n">
        <x:v>89.574</x:v>
      </x:c>
      <x:c r="U35" s="8" t="n">
        <x:v>90.932</x:v>
      </x:c>
      <x:c r="V35" s="8" t="n">
        <x:v>92.283</x:v>
      </x:c>
      <x:c r="W35" s="8" t="n">
        <x:v>93.627</x:v>
      </x:c>
    </x:row>
    <x:row r="36" ht="21" customHeight="1">
      <x:c r="A36" s="8" t="n">
        <x:v>50</x:v>
      </x:c>
      <x:c r="B36" s="8" t="n">
        <x:v>6.849</x:v>
      </x:c>
      <x:c r="C36" s="8" t="n">
        <x:v>56.833</x:v>
      </x:c>
      <x:c r="D36" s="8" t="n">
        <x:v>58.36</x:v>
      </x:c>
      <x:c r="E36" s="8" t="n">
        <x:v>59.846</x:v>
      </x:c>
      <x:c r="F36" s="8" t="n">
        <x:v>61.298</x:v>
      </x:c>
      <x:c r="G36" s="8" t="n">
        <x:v>62.72</x:v>
      </x:c>
      <x:c r="H36" s="8" t="n">
        <x:v>64.115</x:v>
      </x:c>
      <x:c r="I36" s="8" t="n">
        <x:v>65.487</x:v>
      </x:c>
      <x:c r="J36" s="8" t="n">
        <x:v>66.838</x:v>
      </x:c>
      <x:c r="K36" s="8" t="n">
        <x:v>68.171</x:v>
      </x:c>
      <x:c r="L36" s="8" t="n">
        <x:v>69.486</x:v>
      </x:c>
      <x:c r="M36" s="8" t="n">
        <x:v>70.786</x:v>
      </x:c>
      <x:c r="N36" s="8" t="n">
        <x:v>72.072</x:v>
      </x:c>
      <x:c r="O36" s="8" t="n">
        <x:v>73.345</x:v>
      </x:c>
      <x:c r="P36" s="8" t="n">
        <x:v>74.606</x:v>
      </x:c>
      <x:c r="Q36" s="8" t="n">
        <x:v>75.857</x:v>
      </x:c>
      <x:c r="R36" s="8" t="n">
        <x:v>77.097</x:v>
      </x:c>
      <x:c r="S36" s="8" t="n">
        <x:v>78.328</x:v>
      </x:c>
      <x:c r="T36" s="8" t="n">
        <x:v>79.551</x:v>
      </x:c>
      <x:c r="U36" s="8" t="n">
        <x:v>80.785</x:v>
      </x:c>
      <x:c r="V36" s="8" t="n">
        <x:v>81.974</x:v>
      </x:c>
      <x:c r="W36" s="8" t="n">
        <x:v>83.174</x:v>
      </x:c>
    </x:row>
    <x:row r="37" ht="21" customHeight="1">
      <x:c r="A37" s="8" t="n">
        <x:v>55</x:v>
      </x:c>
      <x:c r="B37" s="8" t="n">
        <x:v>7.73</x:v>
      </x:c>
      <x:c r="C37" s="8" t="n">
        <x:v>50.286</x:v>
      </x:c>
      <x:c r="D37" s="8" t="n">
        <x:v>51.69</x:v>
      </x:c>
      <x:c r="E37" s="8" t="n">
        <x:v>53.053</x:v>
      </x:c>
      <x:c r="F37" s="8" t="n">
        <x:v>54.381</x:v>
      </x:c>
      <x:c r="G37" s="8" t="n">
        <x:v>55.678</x:v>
      </x:c>
      <x:c r="H37" s="8" t="n">
        <x:v>56.949</x:v>
      </x:c>
      <x:c r="I37" s="8" t="n">
        <x:v>58.196</x:v>
      </x:c>
      <x:c r="J37" s="8" t="n">
        <x:v>59.423</x:v>
      </x:c>
      <x:c r="K37" s="8" t="n">
        <x:v>60.631</x:v>
      </x:c>
      <x:c r="L37" s="8" t="n">
        <x:v>61.822</x:v>
      </x:c>
      <x:c r="M37" s="8" t="n">
        <x:v>62.997</x:v>
      </x:c>
      <x:c r="N37" s="8" t="n">
        <x:v>64.159</x:v>
      </x:c>
      <x:c r="O37" s="8" t="n">
        <x:v>65.308</x:v>
      </x:c>
      <x:c r="P37" s="8" t="n">
        <x:v>66.445</x:v>
      </x:c>
      <x:c r="Q37" s="8" t="n">
        <x:v>67.572</x:v>
      </x:c>
      <x:c r="R37" s="8" t="n">
        <x:v>68.689</x:v>
      </x:c>
      <x:c r="S37" s="8" t="n">
        <x:v>69.797</x:v>
      </x:c>
      <x:c r="T37" s="8" t="n">
        <x:v>70.897</x:v>
      </x:c>
      <x:c r="U37" s="8" t="n">
        <x:v>71.989</x:v>
      </x:c>
      <x:c r="V37" s="8" t="n">
        <x:v>73.074</x:v>
      </x:c>
      <x:c r="W37" s="8" t="n">
        <x:v>74.152</x:v>
      </x:c>
    </x:row>
    <x:row r="38" ht="21" customHeight="1">
      <x:c r="A38" s="8" t="n">
        <x:v>60</x:v>
      </x:c>
      <x:c r="B38" s="8" t="n">
        <x:v>8.692</x:v>
      </x:c>
      <x:c r="C38" s="8" t="n">
        <x:v>44.592</x:v>
      </x:c>
      <x:c r="D38" s="8" t="n">
        <x:v>45.891</x:v>
      </x:c>
      <x:c r="E38" s="8" t="n">
        <x:v>47.149</x:v>
      </x:c>
      <x:c r="F38" s="8" t="n">
        <x:v>48.371</x:v>
      </x:c>
      <x:c r="G38" s="8" t="n">
        <x:v>49.562</x:v>
      </x:c>
      <x:c r="H38" s="8" t="n">
        <x:v>50.726</x:v>
      </x:c>
      <x:c r="I38" s="8" t="n">
        <x:v>51.866</x:v>
      </x:c>
      <x:c r="J38" s="8" t="n">
        <x:v>52.986</x:v>
      </x:c>
      <x:c r="K38" s="8" t="n">
        <x:v>54.086</x:v>
      </x:c>
      <x:c r="L38" s="8" t="n">
        <x:v>55.17</x:v>
      </x:c>
      <x:c r="M38" s="8" t="n">
        <x:v>56.238</x:v>
      </x:c>
      <x:c r="N38" s="8" t="n">
        <x:v>57.293</x:v>
      </x:c>
      <x:c r="O38" s="8" t="n">
        <x:v>58.335</x:v>
      </x:c>
      <x:c r="P38" s="8" t="n">
        <x:v>59.366</x:v>
      </x:c>
      <x:c r="Q38" s="8" t="n">
        <x:v>60.386</x:v>
      </x:c>
      <x:c r="R38" s="8" t="n">
        <x:v>61.396</x:v>
      </x:c>
      <x:c r="S38" s="8" t="n">
        <x:v>62.398</x:v>
      </x:c>
      <x:c r="T38" s="8" t="n">
        <x:v>63.391</x:v>
      </x:c>
      <x:c r="U38" s="8" t="n">
        <x:v>64.377</x:v>
      </x:c>
      <x:c r="V38" s="8" t="n">
        <x:v>65.356</x:v>
      </x:c>
      <x:c r="W38" s="8" t="n">
        <x:v>66.328</x:v>
      </x:c>
    </x:row>
    <x:row r="39" ht="21" customHeight="1">
      <x:c r="A39" s="8" t="n">
        <x:v>65</x:v>
      </x:c>
      <x:c r="B39" s="8" t="n">
        <x:v>9.739</x:v>
      </x:c>
      <x:c r="C39" s="8" t="n">
        <x:v>39.616</x:v>
      </x:c>
      <x:c r="D39" s="8" t="n">
        <x:v>40.829</x:v>
      </x:c>
      <x:c r="E39" s="8" t="n">
        <x:v>41.997</x:v>
      </x:c>
      <x:c r="F39" s="8" t="n">
        <x:v>43.128</x:v>
      </x:c>
      <x:c r="G39" s="8" t="n">
        <x:v>44.228</x:v>
      </x:c>
      <x:c r="H39" s="8" t="n">
        <x:v>45.3</x:v>
      </x:c>
      <x:c r="I39" s="8" t="n">
        <x:v>46.348</x:v>
      </x:c>
      <x:c r="J39" s="8" t="n">
        <x:v>47.374</x:v>
      </x:c>
      <x:c r="K39" s="8" t="n">
        <x:v>48.382</x:v>
      </x:c>
      <x:c r="L39" s="8" t="n">
        <x:v>49.373</x:v>
      </x:c>
      <x:c r="M39" s="8" t="n">
        <x:v>50.348</x:v>
      </x:c>
      <x:c r="N39" s="8" t="n">
        <x:v>51.31</x:v>
      </x:c>
      <x:c r="O39" s="8" t="n">
        <x:v>52.26</x:v>
      </x:c>
      <x:c r="P39" s="8" t="n">
        <x:v>53.198</x:v>
      </x:c>
      <x:c r="Q39" s="8" t="n">
        <x:v>54.125</x:v>
      </x:c>
      <x:c r="R39" s="8" t="n">
        <x:v>55.043</x:v>
      </x:c>
      <x:c r="S39" s="8" t="n">
        <x:v>55.953</x:v>
      </x:c>
      <x:c r="T39" s="8" t="n">
        <x:v>56.854</x:v>
      </x:c>
      <x:c r="U39" s="8" t="n">
        <x:v>57.748</x:v>
      </x:c>
      <x:c r="V39" s="8" t="n">
        <x:v>58.635</x:v>
      </x:c>
      <x:c r="W39" s="8" t="n">
        <x:v>59.516</x:v>
      </x:c>
    </x:row>
    <x:row r="40" ht="21" customHeight="1">
      <x:c r="A40" s="8" t="n">
        <x:v>70</x:v>
      </x:c>
      <x:c r="B40" s="8" t="n">
        <x:v>10.875</x:v>
      </x:c>
      <x:c r="C40" s="8" t="n">
        <x:v>35.25</x:v>
      </x:c>
      <x:c r="D40" s="8" t="n">
        <x:v>36.369</x:v>
      </x:c>
      <x:c r="E40" s="8" t="n">
        <x:v>37.461</x:v>
      </x:c>
      <x:c r="F40" s="8" t="n">
        <x:v>38.535</x:v>
      </x:c>
      <x:c r="G40" s="8" t="n">
        <x:v>39.556</x:v>
      </x:c>
      <x:c r="H40" s="8" t="n">
        <x:v>40.549</x:v>
      </x:c>
      <x:c r="I40" s="8" t="n">
        <x:v>41.517</x:v>
      </x:c>
      <x:c r="J40" s="8" t="n">
        <x:v>42.463</x:v>
      </x:c>
      <x:c r="K40" s="8" t="n">
        <x:v>43.39</x:v>
      </x:c>
      <x:c r="L40" s="8" t="n">
        <x:v>44.3</x:v>
      </x:c>
      <x:c r="M40" s="8" t="n">
        <x:v>45.195</x:v>
      </x:c>
      <x:c r="N40" s="8" t="n">
        <x:v>46.076</x:v>
      </x:c>
      <x:c r="O40" s="8" t="n">
        <x:v>46.945</x:v>
      </x:c>
      <x:c r="P40" s="8" t="n">
        <x:v>47.803</x:v>
      </x:c>
      <x:c r="Q40" s="8" t="n">
        <x:v>48.65</x:v>
      </x:c>
      <x:c r="R40" s="8" t="n">
        <x:v>49.488</x:v>
      </x:c>
      <x:c r="S40" s="8" t="n">
        <x:v>50.317</x:v>
      </x:c>
      <x:c r="T40" s="8" t="n">
        <x:v>51.138</x:v>
      </x:c>
      <x:c r="U40" s="8" t="n">
        <x:v>51.952</x:v>
      </x:c>
      <x:c r="V40" s="8" t="n">
        <x:v>52.759</x:v>
      </x:c>
      <x:c r="W40" s="8" t="n">
        <x:v>53.559</x:v>
      </x:c>
    </x:row>
    <x:row r="41" ht="21" customHeight="1">
      <x:c r="A41" s="8" t="n">
        <x:v>75</x:v>
      </x:c>
      <x:c r="B41" s="8" t="n">
        <x:v>12.107</x:v>
      </x:c>
      <x:c r="C41" s="8" t="n">
        <x:v>31.402</x:v>
      </x:c>
      <x:c r="D41" s="8" t="n">
        <x:v>32.48</x:v>
      </x:c>
      <x:c r="E41" s="8" t="n">
        <x:v>33.509</x:v>
      </x:c>
      <x:c r="F41" s="8" t="n">
        <x:v>34.497</x:v>
      </x:c>
      <x:c r="G41" s="8" t="n">
        <x:v>35.45</x:v>
      </x:c>
      <x:c r="H41" s="8" t="n">
        <x:v>36.374</x:v>
      </x:c>
      <x:c r="I41" s="8" t="n">
        <x:v>37.272</x:v>
      </x:c>
      <x:c r="J41" s="8" t="n">
        <x:v>38.149</x:v>
      </x:c>
      <x:c r="K41" s="8" t="n">
        <x:v>39.006</x:v>
      </x:c>
      <x:c r="L41" s="8" t="n">
        <x:v>39.846</x:v>
      </x:c>
      <x:c r="M41" s="8" t="n">
        <x:v>40.67</x:v>
      </x:c>
      <x:c r="N41" s="8" t="n">
        <x:v>41.481</x:v>
      </x:c>
      <x:c r="O41" s="8" t="n">
        <x:v>42.279</x:v>
      </x:c>
      <x:c r="P41" s="8" t="n">
        <x:v>43.066</x:v>
      </x:c>
      <x:c r="Q41" s="8" t="n">
        <x:v>43.843</x:v>
      </x:c>
      <x:c r="R41" s="8" t="n">
        <x:v>44.611</x:v>
      </x:c>
      <x:c r="S41" s="8" t="n">
        <x:v>45.37</x:v>
      </x:c>
      <x:c r="T41" s="8" t="n">
        <x:v>46.121</x:v>
      </x:c>
      <x:c r="U41" s="8" t="n">
        <x:v>46.864</x:v>
      </x:c>
      <x:c r="V41" s="8" t="n">
        <x:v>47.602</x:v>
      </x:c>
      <x:c r="W41" s="8" t="n">
        <x:v>48.332</x:v>
      </x:c>
    </x:row>
    <x:row r="42" ht="21" customHeight="1">
      <x:c r="A42" s="8" t="n">
        <x:v>80</x:v>
      </x:c>
      <x:c r="B42" s="8" t="n">
        <x:v>13.438</x:v>
      </x:c>
      <x:c r="C42" s="8" t="n">
        <x:v>27.994</x:v>
      </x:c>
      <x:c r="D42" s="8" t="n">
        <x:v>29.024</x:v>
      </x:c>
      <x:c r="E42" s="8" t="n">
        <x:v>30</x:v>
      </x:c>
      <x:c r="F42" s="8" t="n">
        <x:v>30.932</x:v>
      </x:c>
      <x:c r="G42" s="8" t="n">
        <x:v>31.827</x:v>
      </x:c>
      <x:c r="H42" s="8" t="n">
        <x:v>32.692</x:v>
      </x:c>
      <x:c r="I42" s="8" t="n">
        <x:v>33.53</x:v>
      </x:c>
      <x:c r="J42" s="8" t="n">
        <x:v>34.345</x:v>
      </x:c>
      <x:c r="K42" s="8" t="n">
        <x:v>35.141</x:v>
      </x:c>
      <x:c r="L42" s="8" t="n">
        <x:v>35.919</x:v>
      </x:c>
      <x:c r="M42" s="8" t="n">
        <x:v>36.682</x:v>
      </x:c>
      <x:c r="N42" s="8" t="n">
        <x:v>37.431</x:v>
      </x:c>
      <x:c r="O42" s="8" t="n">
        <x:v>38.167</x:v>
      </x:c>
      <x:c r="P42" s="8" t="n">
        <x:v>38.892</x:v>
      </x:c>
      <x:c r="Q42" s="8" t="n">
        <x:v>39.608</x:v>
      </x:c>
      <x:c r="R42" s="8" t="n">
        <x:v>40.314</x:v>
      </x:c>
      <x:c r="S42" s="8" t="n">
        <x:v>41.011</x:v>
      </x:c>
      <x:c r="T42" s="8" t="n">
        <x:v>41.701</x:v>
      </x:c>
      <x:c r="U42" s="8" t="n">
        <x:v>42.383</x:v>
      </x:c>
      <x:c r="V42" s="8" t="n">
        <x:v>43.059</x:v>
      </x:c>
      <x:c r="W42" s="8" t="n">
        <x:v>43.728</x:v>
      </x:c>
    </x:row>
    <x:row r="43" ht="21" customHeight="1">
      <x:c r="A43" s="8" t="n">
        <x:v>85</x:v>
      </x:c>
      <x:c r="B43" s="8" t="n">
        <x:v>14.874</x:v>
      </x:c>
      <x:c r="C43" s="8" t="n">
        <x:v>24.965</x:v>
      </x:c>
      <x:c r="D43" s="8" t="n">
        <x:v>25.957</x:v>
      </x:c>
      <x:c r="E43" s="8" t="n">
        <x:v>26.89</x:v>
      </x:c>
      <x:c r="F43" s="8" t="n">
        <x:v>27.774</x:v>
      </x:c>
      <x:c r="G43" s="8" t="n">
        <x:v>28.62</x:v>
      </x:c>
      <x:c r="H43" s="8" t="n">
        <x:v>29.432</x:v>
      </x:c>
      <x:c r="I43" s="8" t="n">
        <x:v>30.218</x:v>
      </x:c>
      <x:c r="J43" s="8" t="n">
        <x:v>30.98</x:v>
      </x:c>
      <x:c r="K43" s="8" t="n">
        <x:v>31.722</x:v>
      </x:c>
      <x:c r="L43" s="8" t="n">
        <x:v>32.446</x:v>
      </x:c>
      <x:c r="M43" s="8" t="n">
        <x:v>33.155</x:v>
      </x:c>
      <x:c r="N43" s="8" t="n">
        <x:v>33.849</x:v>
      </x:c>
      <x:c r="O43" s="8" t="n">
        <x:v>34.532</x:v>
      </x:c>
      <x:c r="P43" s="8" t="n">
        <x:v>35.203</x:v>
      </x:c>
      <x:c r="Q43" s="8" t="n">
        <x:v>35.863</x:v>
      </x:c>
      <x:c r="R43" s="8" t="n">
        <x:v>36.515</x:v>
      </x:c>
      <x:c r="S43" s="8" t="n">
        <x:v>37.158</x:v>
      </x:c>
      <x:c r="T43" s="8" t="n">
        <x:v>37.794</x:v>
      </x:c>
      <x:c r="U43" s="8" t="n">
        <x:v>38.422</x:v>
      </x:c>
      <x:c r="V43" s="8" t="n">
        <x:v>39.044</x:v>
      </x:c>
      <x:c r="W43" s="8" t="n">
        <x:v>39.659</x:v>
      </x:c>
    </x:row>
    <x:row r="44" ht="21" customHeight="1">
      <x:c r="A44" s="8" t="n">
        <x:v>90</x:v>
      </x:c>
      <x:c r="B44" s="8" t="n">
        <x:v>16.42</x:v>
      </x:c>
      <x:c r="C44" s="8" t="n">
        <x:v>22.258</x:v>
      </x:c>
      <x:c r="D44" s="8" t="n">
        <x:v>23.225</x:v>
      </x:c>
      <x:c r="E44" s="8" t="n">
        <x:v>24.123</x:v>
      </x:c>
      <x:c r="F44" s="8" t="n">
        <x:v>24.968</x:v>
      </x:c>
      <x:c r="G44" s="8" t="n">
        <x:v>25.77</x:v>
      </x:c>
      <x:c r="H44" s="8" t="n">
        <x:v>26.539</x:v>
      </x:c>
      <x:c r="I44" s="8" t="n">
        <x:v>27.278</x:v>
      </x:c>
      <x:c r="J44" s="8" t="n">
        <x:v>27.994</x:v>
      </x:c>
      <x:c r="K44" s="8" t="n">
        <x:v>28.688</x:v>
      </x:c>
      <x:c r="L44" s="8" t="n">
        <x:v>29.365</x:v>
      </x:c>
      <x:c r="M44" s="8" t="n">
        <x:v>30.026</x:v>
      </x:c>
      <x:c r="N44" s="8" t="n">
        <x:v>30.672</x:v>
      </x:c>
      <x:c r="O44" s="8" t="n">
        <x:v>31.307</x:v>
      </x:c>
      <x:c r="P44" s="8" t="n">
        <x:v>31.93</x:v>
      </x:c>
      <x:c r="Q44" s="8" t="n">
        <x:v>32.542</x:v>
      </x:c>
      <x:c r="R44" s="8" t="n">
        <x:v>33.146</x:v>
      </x:c>
      <x:c r="S44" s="8" t="n">
        <x:v>33.741</x:v>
      </x:c>
      <x:c r="T44" s="8" t="n">
        <x:v>34.329</x:v>
      </x:c>
      <x:c r="U44" s="8" t="n">
        <x:v>34.909</x:v>
      </x:c>
      <x:c r="V44" s="8" t="n">
        <x:v>35.483</x:v>
      </x:c>
      <x:c r="W44" s="8" t="n">
        <x:v>36.051</x:v>
      </x:c>
    </x:row>
    <x:row r="45" ht="21" customHeight="1">
      <x:c r="A45" s="8" t="n">
        <x:v>95</x:v>
      </x:c>
      <x:c r="B45" s="8" t="n">
        <x:v>18.081</x:v>
      </x:c>
      <x:c r="C45" s="8" t="n">
        <x:v>19.829</x:v>
      </x:c>
      <x:c r="D45" s="8" t="n">
        <x:v>20.781</x:v>
      </x:c>
      <x:c r="E45" s="8" t="n">
        <x:v>21.653</x:v>
      </x:c>
      <x:c r="F45" s="8" t="n">
        <x:v>22.465</x:v>
      </x:c>
      <x:c r="G45" s="8" t="n">
        <x:v>23.231</x:v>
      </x:c>
      <x:c r="H45" s="8" t="n">
        <x:v>23.961</x:v>
      </x:c>
      <x:c r="I45" s="8" t="n">
        <x:v>24.661</x:v>
      </x:c>
      <x:c r="J45" s="8" t="n">
        <x:v>25.335</x:v>
      </x:c>
      <x:c r="K45" s="8" t="n">
        <x:v>25.988</x:v>
      </x:c>
      <x:c r="L45" s="8" t="n">
        <x:v>26.623</x:v>
      </x:c>
      <x:c r="M45" s="8" t="n">
        <x:v>27.241</x:v>
      </x:c>
      <x:c r="N45" s="8" t="n">
        <x:v>27.846</x:v>
      </x:c>
      <x:c r="O45" s="8" t="n">
        <x:v>28.437</x:v>
      </x:c>
      <x:c r="P45" s="8" t="n">
        <x:v>29.018</x:v>
      </x:c>
      <x:c r="Q45" s="8" t="n">
        <x:v>29.588</x:v>
      </x:c>
      <x:c r="R45" s="8" t="n">
        <x:v>30.149</x:v>
      </x:c>
      <x:c r="S45" s="8" t="n">
        <x:v>30.701</x:v>
      </x:c>
      <x:c r="T45" s="8" t="n">
        <x:v>31.246</x:v>
      </x:c>
      <x:c r="U45" s="8" t="n">
        <x:v>31.784</x:v>
      </x:c>
      <x:c r="V45" s="8" t="n">
        <x:v>32.315</x:v>
      </x:c>
      <x:c r="W45" s="8" t="n">
        <x:v>32.841</x:v>
      </x:c>
    </x:row>
    <x:row r="46" ht="21" customHeight="1">
      <x:c r="A46" s="8" t="n">
        <x:v>100</x:v>
      </x:c>
      <x:c r="B46" s="8" t="n">
        <x:v>19.865</x:v>
      </x:c>
      <x:c r="C46" s="8" t="n">
        <x:v>17.638</x:v>
      </x:c>
      <x:c r="D46" s="8" t="n">
        <x:v>18.587</x:v>
      </x:c>
      <x:c r="E46" s="8" t="n">
        <x:v>19.44</x:v>
      </x:c>
      <x:c r="F46" s="8" t="n">
        <x:v>20.226</x:v>
      </x:c>
      <x:c r="G46" s="8" t="n">
        <x:v>20.962</x:v>
      </x:c>
      <x:c r="H46" s="8" t="n">
        <x:v>21.658</x:v>
      </x:c>
      <x:c r="I46" s="8" t="n">
        <x:v>22.323</x:v>
      </x:c>
      <x:c r="J46" s="8" t="n">
        <x:v>22.962</x:v>
      </x:c>
      <x:c r="K46" s="8" t="n">
        <x:v>23.578</x:v>
      </x:c>
      <x:c r="L46" s="8" t="n">
        <x:v>24.175</x:v>
      </x:c>
      <x:c r="M46" s="8" t="n">
        <x:v>24.756</x:v>
      </x:c>
      <x:c r="N46" s="8" t="n">
        <x:v>25.323</x:v>
      </x:c>
      <x:c r="O46" s="8" t="n">
        <x:v>25.877</x:v>
      </x:c>
      <x:c r="P46" s="8" t="n">
        <x:v>26.419</x:v>
      </x:c>
      <x:c r="Q46" s="8" t="n">
        <x:v>26.951</x:v>
      </x:c>
      <x:c r="R46" s="8" t="n">
        <x:v>27.474</x:v>
      </x:c>
      <x:c r="S46" s="8" t="n">
        <x:v>27.989</x:v>
      </x:c>
      <x:c r="T46" s="8" t="n">
        <x:v>28.496</x:v>
      </x:c>
      <x:c r="U46" s="8" t="n">
        <x:v>28.995</x:v>
      </x:c>
      <x:c r="V46" s="8" t="n">
        <x:v>29.489</x:v>
      </x:c>
      <x:c r="W46" s="8" t="n">
        <x:v>29.976</x:v>
      </x:c>
    </x:row>
    <x:row r="47" ht="21" customHeight="1">
      <x:c r="A47" s="8" t="n">
        <x:v>105</x:v>
      </x:c>
      <x:c r="B47" s="8" t="n">
        <x:v>21.778</x:v>
      </x:c>
      <x:c r="C47" s="8" t="n">
        <x:v>15.647</x:v>
      </x:c>
      <x:c r="D47" s="8" t="n">
        <x:v>16.608</x:v>
      </x:c>
      <x:c r="E47" s="8" t="n">
        <x:v>17.452</x:v>
      </x:c>
      <x:c r="F47" s="8" t="n">
        <x:v>18.218</x:v>
      </x:c>
      <x:c r="G47" s="8" t="n">
        <x:v>18.928</x:v>
      </x:c>
      <x:c r="H47" s="8" t="n">
        <x:v>19.596</x:v>
      </x:c>
      <x:c r="I47" s="8" t="n">
        <x:v>20.23</x:v>
      </x:c>
      <x:c r="J47" s="8" t="n">
        <x:v>20.837</x:v>
      </x:c>
      <x:c r="K47" s="8" t="n">
        <x:v>21.424</x:v>
      </x:c>
      <x:c r="L47" s="8" t="n">
        <x:v>21.985</x:v>
      </x:c>
      <x:c r="M47" s="8" t="n">
        <x:v>22.532</x:v>
      </x:c>
      <x:c r="N47" s="8" t="n">
        <x:v>23.065</x:v>
      </x:c>
      <x:c r="O47" s="8" t="n">
        <x:v>23.585</x:v>
      </x:c>
      <x:c r="P47" s="8" t="n">
        <x:v>24.094</x:v>
      </x:c>
      <x:c r="Q47" s="8" t="n">
        <x:v>24.592</x:v>
      </x:c>
      <x:c r="R47" s="8" t="n">
        <x:v>25.081</x:v>
      </x:c>
      <x:c r="S47" s="8" t="n">
        <x:v>25.581</x:v>
      </x:c>
      <x:c r="T47" s="8" t="n">
        <x:v>26.083</x:v>
      </x:c>
      <x:c r="U47" s="8" t="n">
        <x:v>26.5</x:v>
      </x:c>
      <x:c r="V47" s="8" t="n">
        <x:v>26.96</x:v>
      </x:c>
      <x:c r="W47" s="8" t="n">
        <x:v>27.413</x:v>
      </x:c>
    </x:row>
    <x:row r="48" ht="21" customHeight="1">
      <x:c r="A48" s="8" t="n">
        <x:v>110</x:v>
      </x:c>
      <x:c r="B48" s="8" t="n">
        <x:v>23.826</x:v>
      </x:c>
      <x:c r="C48" s="8" t="n">
        <x:v>13.825</x:v>
      </x:c>
      <x:c r="D48" s="8" t="n">
        <x:v>14.861</x:v>
      </x:c>
      <x:c r="E48" s="8" t="n">
        <x:v>15.658</x:v>
      </x:c>
      <x:c r="F48" s="8" t="n">
        <x:v>16.41</x:v>
      </x:c>
      <x:c r="G48" s="8" t="n">
        <x:v>17.1</x:v>
      </x:c>
      <x:c r="H48" s="8" t="n">
        <x:v>17.743</x:v>
      </x:c>
      <x:c r="I48" s="8" t="n">
        <x:v>18.351</x:v>
      </x:c>
      <x:c r="J48" s="8" t="n">
        <x:v>18.929</x:v>
      </x:c>
      <x:c r="K48" s="8" t="n">
        <x:v>19.484</x:v>
      </x:c>
      <x:c r="L48" s="8" t="n">
        <x:v>20.019</x:v>
      </x:c>
      <x:c r="M48" s="8" t="n">
        <x:v>20.537</x:v>
      </x:c>
      <x:c r="N48" s="8" t="n">
        <x:v>21.039</x:v>
      </x:c>
      <x:c r="O48" s="8" t="n">
        <x:v>21.529</x:v>
      </x:c>
      <x:c r="P48" s="8" t="n">
        <x:v>22.007</x:v>
      </x:c>
      <x:c r="Q48" s="8" t="n">
        <x:v>22.475</x:v>
      </x:c>
      <x:c r="R48" s="8" t="n">
        <x:v>22.933</x:v>
      </x:c>
      <x:c r="S48" s="8" t="n">
        <x:v>23.383</x:v>
      </x:c>
      <x:c r="T48" s="8" t="n">
        <x:v>23.835</x:v>
      </x:c>
      <x:c r="U48" s="8" t="n">
        <x:v>24.28</x:v>
      </x:c>
      <x:c r="V48" s="8" t="n">
        <x:v>24.689</x:v>
      </x:c>
      <x:c r="W48" s="8" t="n">
        <x:v>25.112</x:v>
      </x:c>
    </x:row>
    <x:row r="49" ht="21" customHeight="1">
      <x:c r="A49" s="8" t="n">
        <x:v>115</x:v>
      </x:c>
      <x:c r="B49" s="8" t="n">
        <x:v>26.019</x:v>
      </x:c>
      <x:c r="C49" s="8" t="n">
        <x:v>12.14</x:v>
      </x:c>
      <x:c r="D49" s="8" t="n">
        <x:v>13.165</x:v>
      </x:c>
      <x:c r="E49" s="8" t="n">
        <x:v>14.036</x:v>
      </x:c>
      <x:c r="F49" s="8" t="n">
        <x:v>14.779</x:v>
      </x:c>
      <x:c r="G49" s="8" t="n">
        <x:v>15.452</x:v>
      </x:c>
      <x:c r="H49" s="8" t="n">
        <x:v>16.075</x:v>
      </x:c>
      <x:c r="I49" s="8" t="n">
        <x:v>16.659</x:v>
      </x:c>
      <x:c r="J49" s="8" t="n">
        <x:v>17.218</x:v>
      </x:c>
      <x:c r="K49" s="8" t="n">
        <x:v>17.742</x:v>
      </x:c>
      <x:c r="L49" s="8" t="n">
        <x:v>18.25</x:v>
      </x:c>
      <x:c r="M49" s="8" t="n">
        <x:v>18.741</x:v>
      </x:c>
      <x:c r="N49" s="8" t="n">
        <x:v>19.217</x:v>
      </x:c>
      <x:c r="O49" s="8" t="n">
        <x:v>19.679</x:v>
      </x:c>
      <x:c r="P49" s="8" t="n">
        <x:v>20.129</x:v>
      </x:c>
      <x:c r="Q49" s="8" t="n">
        <x:v>20.569</x:v>
      </x:c>
      <x:c r="R49" s="8" t="n">
        <x:v>21</x:v>
      </x:c>
      <x:c r="S49" s="8" t="n">
        <x:v>21.422</x:v>
      </x:c>
      <x:c r="T49" s="8" t="n">
        <x:v>21.837</x:v>
      </x:c>
      <x:c r="U49" s="8" t="n">
        <x:v>22.245</x:v>
      </x:c>
      <x:c r="V49" s="8" t="n">
        <x:v>22.646</x:v>
      </x:c>
      <x:c r="W49" s="8" t="n">
        <x:v>23.042</x:v>
      </x:c>
    </x:row>
    <x:row r="50" ht="21" customHeight="1">
      <x:c r="A50" s="8" t="n">
        <x:v>120</x:v>
      </x:c>
      <x:c r="B50" s="8" t="n">
        <x:v>28.366</x:v>
      </x:c>
      <x:c r="C50" s="8" t="n">
        <x:v>10.555</x:v>
      </x:c>
      <x:c r="D50" s="8" t="n">
        <x:v>11.636</x:v>
      </x:c>
      <x:c r="E50" s="8" t="n">
        <x:v>12.565</x:v>
      </x:c>
      <x:c r="F50" s="8" t="n">
        <x:v>13.304</x:v>
      </x:c>
      <x:c r="G50" s="8" t="n">
        <x:v>13.964</x:v>
      </x:c>
      <x:c r="H50" s="8" t="n">
        <x:v>14.569</x:v>
      </x:c>
      <x:c r="I50" s="8" t="n">
        <x:v>15.133</x:v>
      </x:c>
      <x:c r="J50" s="8" t="n">
        <x:v>15.664</x:v>
      </x:c>
      <x:c r="K50" s="8" t="n">
        <x:v>16.17</x:v>
      </x:c>
      <x:c r="L50" s="8" t="n">
        <x:v>16.655</x:v>
      </x:c>
      <x:c r="M50" s="8" t="n">
        <x:v>17.121</x:v>
      </x:c>
      <x:c r="N50" s="8" t="n">
        <x:v>17.572</x:v>
      </x:c>
      <x:c r="O50" s="8" t="n">
        <x:v>18.009</x:v>
      </x:c>
      <x:c r="P50" s="8" t="n">
        <x:v>18.435</x:v>
      </x:c>
      <x:c r="Q50" s="8" t="n">
        <x:v>18.85</x:v>
      </x:c>
      <x:c r="R50" s="8" t="n">
        <x:v>19.255</x:v>
      </x:c>
      <x:c r="S50" s="8" t="n">
        <x:v>19.652</x:v>
      </x:c>
      <x:c r="T50" s="8" t="n">
        <x:v>20.042</x:v>
      </x:c>
      <x:c r="U50" s="8" t="n">
        <x:v>20.425</x:v>
      </x:c>
      <x:c r="V50" s="8" t="n">
        <x:v>20.801</x:v>
      </x:c>
      <x:c r="W50" s="8" t="n">
        <x:v>21.172</x:v>
      </x:c>
    </x:row>
    <x:row r="51" ht="21" customHeight="1">
      <x:c r="A51" s="8" t="n">
        <x:v>125</x:v>
      </x:c>
      <x:c r="B51" s="8" t="n">
        <x:v>30.88</x:v>
      </x:c>
      <x:c r="C51" s="8" t="n">
        <x:v>9.02</x:v>
      </x:c>
      <x:c r="D51" s="8" t="n">
        <x:v>10.328</x:v>
      </x:c>
      <x:c r="E51" s="8" t="n">
        <x:v>11.226</x:v>
      </x:c>
      <x:c r="F51" s="8" t="n">
        <x:v>11.967</x:v>
      </x:c>
      <x:c r="G51" s="8" t="n">
        <x:v>12.617</x:v>
      </x:c>
      <x:c r="H51" s="8" t="n">
        <x:v>13.206</x:v>
      </x:c>
      <x:c r="I51" s="8" t="n">
        <x:v>13.752</x:v>
      </x:c>
      <x:c r="J51" s="8" t="n">
        <x:v>14.264</x:v>
      </x:c>
      <x:c r="K51" s="8" t="n">
        <x:v>14.748</x:v>
      </x:c>
      <x:c r="L51" s="8" t="n">
        <x:v>15.211</x:v>
      </x:c>
      <x:c r="M51" s="8" t="n">
        <x:v>15.655</x:v>
      </x:c>
      <x:c r="N51" s="8" t="n">
        <x:v>16.083</x:v>
      </x:c>
      <x:c r="O51" s="8" t="n">
        <x:v>16.498</x:v>
      </x:c>
      <x:c r="P51" s="8" t="n">
        <x:v>16.9</x:v>
      </x:c>
      <x:c r="Q51" s="8" t="n">
        <x:v>17.293</x:v>
      </x:c>
      <x:c r="R51" s="8" t="n">
        <x:v>17.675</x:v>
      </x:c>
      <x:c r="S51" s="8" t="n">
        <x:v>18.049</x:v>
      </x:c>
      <x:c r="T51" s="8" t="n">
        <x:v>18.416</x:v>
      </x:c>
      <x:c r="U51" s="8" t="n">
        <x:v>18.778</x:v>
      </x:c>
      <x:c r="V51" s="8" t="n">
        <x:v>19.13</x:v>
      </x:c>
      <x:c r="W51" s="8" t="n">
        <x:v>19.478</x:v>
      </x:c>
    </x:row>
    <x:row r="52" ht="21" customHeight="1">
      <x:c r="A52" s="8" t="n">
        <x:v>130</x:v>
      </x:c>
      <x:c r="B52" s="8" t="n">
        <x:v>33.578</x:v>
      </x:c>
      <x:c r="C52" s="8" t="n">
        <x:v>7.423</x:v>
      </x:c>
      <x:c r="D52" s="8" t="n">
        <x:v>9.065</x:v>
      </x:c>
      <x:c r="E52" s="8" t="n">
        <x:v>10.006</x:v>
      </x:c>
      <x:c r="F52" s="8" t="n">
        <x:v>10.751</x:v>
      </x:c>
      <x:c r="G52" s="8" t="n">
        <x:v>11.393</x:v>
      </x:c>
      <x:c r="H52" s="8" t="n">
        <x:v>11.969</x:v>
      </x:c>
      <x:c r="I52" s="8" t="n">
        <x:v>12.498</x:v>
      </x:c>
      <x:c r="J52" s="8" t="n">
        <x:v>12.992</x:v>
      </x:c>
      <x:c r="K52" s="8" t="n">
        <x:v>13.457</x:v>
      </x:c>
      <x:c r="L52" s="8" t="n">
        <x:v>13.899</x:v>
      </x:c>
      <x:c r="M52" s="8" t="n">
        <x:v>14.323</x:v>
      </x:c>
      <x:c r="N52" s="8" t="n">
        <x:v>14.73</x:v>
      </x:c>
      <x:c r="O52" s="8" t="n">
        <x:v>15.124</x:v>
      </x:c>
      <x:c r="P52" s="8" t="n">
        <x:v>15.505</x:v>
      </x:c>
      <x:c r="Q52" s="8" t="n">
        <x:v>15.876</x:v>
      </x:c>
      <x:c r="R52" s="8" t="n">
        <x:v>16.238</x:v>
      </x:c>
      <x:c r="S52" s="8" t="n">
        <x:v>16.591</x:v>
      </x:c>
      <x:c r="T52" s="8" t="n">
        <x:v>16.987</x:v>
      </x:c>
      <x:c r="U52" s="8" t="n">
        <x:v>17.276</x:v>
      </x:c>
      <x:c r="V52" s="8" t="n">
        <x:v>17.609</x:v>
      </x:c>
      <x:c r="W52" s="8" t="n">
        <x:v>17.936</x:v>
      </x:c>
    </x:row>
  </x:sheetData>
  <x:mergeCells>
    <x:mergeCell ref="A1:H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950a78f4b41477a"/>
  </x:tableParts>
</x:worksheet>
</file>

<file path=xl/worksheets/sheet4.xml><?xml version="1.0" encoding="utf-8"?>
<x:worksheet xmlns:x="http://schemas.openxmlformats.org/spreadsheetml/2006/main">
  <x:sheetPr>
    <x:tabColor rgb="FF176A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4" customHeight="1">
      <x:c r="A1" s="3" t="str">
        <x:v>R600a · Entalpia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Fuente: tablas.pdf, página 3. Auditoría en GitHub: data/r600a/cell_audit.json.</x:v>
      </x:c>
      <x:c r="B2" s="7"/>
      <x:c r="C2" s="7"/>
      <x:c r="D2" s="7"/>
      <x:c r="E2" s="7"/>
      <x:c r="F2" s="7"/>
      <x:c r="G2" s="7"/>
      <x:c r="H2" s="7"/>
      <x:c r="I2" s="7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34" customHeight="1">
      <x:c r="A3" s="7" t="str">
        <x:v>Las columnas ΔT son grados de sobrecalentamiento: T absoluta = T sat + ΔT. Entalpía en kJ/kg.</x:v>
      </x:c>
      <x:c r="B3" s="7"/>
      <x:c r="C3" s="7"/>
      <x:c r="D3" s="7"/>
      <x:c r="E3" s="7"/>
      <x:c r="F3" s="7"/>
      <x:c r="G3" s="7"/>
      <x:c r="H3" s="7"/>
      <x:c r="I3" s="7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36" customHeight="1">
      <x:c r="A4" s="5" t="str">
        <x:v>T sat (°C)</x:v>
      </x:c>
      <x:c r="B4" s="5" t="str">
        <x:v>P (bar)</x:v>
      </x:c>
      <x:c r="C4" s="5" t="str">
        <x:v>ΔT 0 °C</x:v>
      </x:c>
      <x:c r="D4" s="5" t="str">
        <x:v>ΔT 5 °C</x:v>
      </x:c>
      <x:c r="E4" s="5" t="str">
        <x:v>ΔT 10 °C</x:v>
      </x:c>
      <x:c r="F4" s="5" t="str">
        <x:v>ΔT 15 °C</x:v>
      </x:c>
      <x:c r="G4" s="5" t="str">
        <x:v>ΔT 20 °C</x:v>
      </x:c>
      <x:c r="H4" s="5" t="str">
        <x:v>ΔT 25 °C</x:v>
      </x:c>
      <x:c r="I4" s="5" t="str">
        <x:v>ΔT 30 °C</x:v>
      </x:c>
      <x:c r="J4" s="5" t="str">
        <x:v>ΔT 35 °C</x:v>
      </x:c>
      <x:c r="K4" s="5" t="str">
        <x:v>ΔT 40 °C</x:v>
      </x:c>
      <x:c r="L4" s="5" t="str">
        <x:v>ΔT 45 °C</x:v>
      </x:c>
      <x:c r="M4" s="5" t="str">
        <x:v>ΔT 50 °C</x:v>
      </x:c>
      <x:c r="N4" s="5" t="str">
        <x:v>ΔT 55 °C</x:v>
      </x:c>
      <x:c r="O4" s="5" t="str">
        <x:v>ΔT 60 °C</x:v>
      </x:c>
      <x:c r="P4" s="5" t="str">
        <x:v>ΔT 65 °C</x:v>
      </x:c>
      <x:c r="Q4" s="5" t="str">
        <x:v>ΔT 70 °C</x:v>
      </x:c>
      <x:c r="R4" s="5" t="str">
        <x:v>ΔT 75 °C</x:v>
      </x:c>
      <x:c r="S4" s="5" t="str">
        <x:v>ΔT 80 °C</x:v>
      </x:c>
      <x:c r="T4" s="5" t="str">
        <x:v>ΔT 85 °C</x:v>
      </x:c>
      <x:c r="U4" s="5" t="str">
        <x:v>ΔT 90 °C</x:v>
      </x:c>
      <x:c r="V4" s="5" t="str">
        <x:v>ΔT 95 °C</x:v>
      </x:c>
      <x:c r="W4" s="5" t="str">
        <x:v>ΔT 100 °C</x:v>
      </x:c>
    </x:row>
    <x:row r="5" ht="21" customHeight="1">
      <x:c r="A5" s="8" t="n">
        <x:v>-100</x:v>
      </x:c>
      <x:c r="B5" s="8" t="n">
        <x:v>0.004</x:v>
      </x:c>
      <x:c r="C5" s="8" t="n">
        <x:v>428.19</x:v>
      </x:c>
      <x:c r="D5" s="8" t="n">
        <x:v>433.892</x:v>
      </x:c>
      <x:c r="E5" s="8" t="n">
        <x:v>439.693</x:v>
      </x:c>
      <x:c r="F5" s="8" t="n">
        <x:v>445.591</x:v>
      </x:c>
      <x:c r="G5" s="8" t="n">
        <x:v>451.588</x:v>
      </x:c>
      <x:c r="H5" s="8" t="n">
        <x:v>457.684</x:v>
      </x:c>
      <x:c r="I5" s="8" t="n">
        <x:v>463.879</x:v>
      </x:c>
      <x:c r="J5" s="8" t="n">
        <x:v>470.174</x:v>
      </x:c>
      <x:c r="K5" s="8" t="n">
        <x:v>476.57</x:v>
      </x:c>
      <x:c r="L5" s="8" t="n">
        <x:v>483.067</x:v>
      </x:c>
      <x:c r="M5" s="8" t="n">
        <x:v>489.667</x:v>
      </x:c>
      <x:c r="N5" s="8" t="n">
        <x:v>496.371</x:v>
      </x:c>
      <x:c r="O5" s="8" t="n">
        <x:v>503.179</x:v>
      </x:c>
      <x:c r="P5" s="8" t="n">
        <x:v>510.092</x:v>
      </x:c>
      <x:c r="Q5" s="8" t="n">
        <x:v>517.112</x:v>
      </x:c>
      <x:c r="R5" s="8" t="n">
        <x:v>524.24</x:v>
      </x:c>
      <x:c r="S5" s="8" t="n">
        <x:v>531.477</x:v>
      </x:c>
      <x:c r="T5" s="8" t="n">
        <x:v>538.823</x:v>
      </x:c>
      <x:c r="U5" s="8" t="n">
        <x:v>546.28</x:v>
      </x:c>
      <x:c r="V5" s="8" t="n">
        <x:v>553.848</x:v>
      </x:c>
      <x:c r="W5" s="8" t="n">
        <x:v>561.529</x:v>
      </x:c>
    </x:row>
    <x:row r="6" ht="21" customHeight="1">
      <x:c r="A6" s="8" t="n">
        <x:v>-95</x:v>
      </x:c>
      <x:c r="B6" s="8" t="n">
        <x:v>0.006</x:v>
      </x:c>
      <x:c r="C6" s="8" t="n">
        <x:v>433.861</x:v>
      </x:c>
      <x:c r="D6" s="8" t="n">
        <x:v>439.664</x:v>
      </x:c>
      <x:c r="E6" s="8" t="n">
        <x:v>445.565</x:v>
      </x:c>
      <x:c r="F6" s="8" t="n">
        <x:v>451.563</x:v>
      </x:c>
      <x:c r="G6" s="8" t="n">
        <x:v>457.661</x:v>
      </x:c>
      <x:c r="H6" s="8" t="n">
        <x:v>463.857</x:v>
      </x:c>
      <x:c r="I6" s="8" t="n">
        <x:v>470.154</x:v>
      </x:c>
      <x:c r="J6" s="8" t="n">
        <x:v>476.551</x:v>
      </x:c>
      <x:c r="K6" s="8" t="n">
        <x:v>483.049</x:v>
      </x:c>
      <x:c r="L6" s="8" t="n">
        <x:v>489.65</x:v>
      </x:c>
      <x:c r="M6" s="8" t="n">
        <x:v>496.355</x:v>
      </x:c>
      <x:c r="N6" s="8" t="n">
        <x:v>503.163</x:v>
      </x:c>
      <x:c r="O6" s="8" t="n">
        <x:v>510.078</x:v>
      </x:c>
      <x:c r="P6" s="8" t="n">
        <x:v>517.099</x:v>
      </x:c>
      <x:c r="Q6" s="8" t="n">
        <x:v>524.227</x:v>
      </x:c>
      <x:c r="R6" s="8" t="n">
        <x:v>531.464</x:v>
      </x:c>
      <x:c r="S6" s="8" t="n">
        <x:v>538.811</x:v>
      </x:c>
      <x:c r="T6" s="8" t="n">
        <x:v>546.268</x:v>
      </x:c>
      <x:c r="U6" s="8" t="n">
        <x:v>553.838</x:v>
      </x:c>
      <x:c r="V6" s="8" t="n">
        <x:v>561.519</x:v>
      </x:c>
      <x:c r="W6" s="8" t="n">
        <x:v>569.314</x:v>
      </x:c>
    </x:row>
    <x:row r="7" ht="21" customHeight="1">
      <x:c r="A7" s="8" t="n">
        <x:v>-90</x:v>
      </x:c>
      <x:c r="B7" s="8" t="n">
        <x:v>0.01</x:v>
      </x:c>
      <x:c r="C7" s="8" t="n">
        <x:v>439.62</x:v>
      </x:c>
      <x:c r="D7" s="8" t="n">
        <x:v>445.524</x:v>
      </x:c>
      <x:c r="E7" s="8" t="n">
        <x:v>451.526</x:v>
      </x:c>
      <x:c r="F7" s="8" t="n">
        <x:v>457.626</x:v>
      </x:c>
      <x:c r="G7" s="8" t="n">
        <x:v>463.825</x:v>
      </x:c>
      <x:c r="H7" s="8" t="n">
        <x:v>470.123</x:v>
      </x:c>
      <x:c r="I7" s="8" t="n">
        <x:v>476.522</x:v>
      </x:c>
      <x:c r="J7" s="8" t="n">
        <x:v>483.022</x:v>
      </x:c>
      <x:c r="K7" s="8" t="n">
        <x:v>489.625</x:v>
      </x:c>
      <x:c r="L7" s="8" t="n">
        <x:v>496.331</x:v>
      </x:c>
      <x:c r="M7" s="8" t="n">
        <x:v>503.141</x:v>
      </x:c>
      <x:c r="N7" s="8" t="n">
        <x:v>510.056</x:v>
      </x:c>
      <x:c r="O7" s="8" t="n">
        <x:v>517.078</x:v>
      </x:c>
      <x:c r="P7" s="8" t="n">
        <x:v>524.208</x:v>
      </x:c>
      <x:c r="Q7" s="8" t="n">
        <x:v>531.446</x:v>
      </x:c>
      <x:c r="R7" s="8" t="n">
        <x:v>538.793</x:v>
      </x:c>
      <x:c r="S7" s="8" t="n">
        <x:v>546.252</x:v>
      </x:c>
      <x:c r="T7" s="8" t="n">
        <x:v>553.821</x:v>
      </x:c>
      <x:c r="U7" s="8" t="n">
        <x:v>561.504</x:v>
      </x:c>
      <x:c r="V7" s="8" t="n">
        <x:v>569.299</x:v>
      </x:c>
      <x:c r="W7" s="8" t="n">
        <x:v>577.209</x:v>
      </x:c>
    </x:row>
    <x:row r="8" ht="21" customHeight="1">
      <x:c r="A8" s="8" t="n">
        <x:v>-85</x:v>
      </x:c>
      <x:c r="B8" s="8" t="n">
        <x:v>0.015</x:v>
      </x:c>
      <x:c r="C8" s="8" t="n">
        <x:v>445.465</x:v>
      </x:c>
      <x:c r="D8" s="8" t="n">
        <x:v>451.471</x:v>
      </x:c>
      <x:c r="E8" s="8" t="n">
        <x:v>457.574</x:v>
      </x:c>
      <x:c r="F8" s="8" t="n">
        <x:v>463.777</x:v>
      </x:c>
      <x:c r="G8" s="8" t="n">
        <x:v>470.078</x:v>
      </x:c>
      <x:c r="H8" s="8" t="n">
        <x:v>476.48</x:v>
      </x:c>
      <x:c r="I8" s="8" t="n">
        <x:v>482.982</x:v>
      </x:c>
      <x:c r="J8" s="8" t="n">
        <x:v>489.587</x:v>
      </x:c>
      <x:c r="K8" s="8" t="n">
        <x:v>496.295</x:v>
      </x:c>
      <x:c r="L8" s="8" t="n">
        <x:v>503.107</x:v>
      </x:c>
      <x:c r="M8" s="8" t="n">
        <x:v>510.024</x:v>
      </x:c>
      <x:c r="N8" s="8" t="n">
        <x:v>517.048</x:v>
      </x:c>
      <x:c r="O8" s="8" t="n">
        <x:v>524.179</x:v>
      </x:c>
      <x:c r="P8" s="8" t="n">
        <x:v>531.418</x:v>
      </x:c>
      <x:c r="Q8" s="8" t="n">
        <x:v>538.767</x:v>
      </x:c>
      <x:c r="R8" s="8" t="n">
        <x:v>546.227</x:v>
      </x:c>
      <x:c r="S8" s="8" t="n">
        <x:v>553.798</x:v>
      </x:c>
      <x:c r="T8" s="8" t="n">
        <x:v>561.481</x:v>
      </x:c>
      <x:c r="U8" s="8" t="n">
        <x:v>569.278</x:v>
      </x:c>
      <x:c r="V8" s="8" t="n">
        <x:v>577.188</x:v>
      </x:c>
      <x:c r="W8" s="8" t="n">
        <x:v>585.214</x:v>
      </x:c>
    </x:row>
    <x:row r="9" ht="21" customHeight="1">
      <x:c r="A9" s="8" t="n">
        <x:v>-80</x:v>
      </x:c>
      <x:c r="B9" s="8" t="n">
        <x:v>0.023</x:v>
      </x:c>
      <x:c r="C9" s="8" t="n">
        <x:v>451.392</x:v>
      </x:c>
      <x:c r="D9" s="8" t="n">
        <x:v>457.501</x:v>
      </x:c>
      <x:c r="E9" s="8" t="n">
        <x:v>463.708</x:v>
      </x:c>
      <x:c r="F9" s="8" t="n">
        <x:v>470.014</x:v>
      </x:c>
      <x:c r="G9" s="8" t="n">
        <x:v>476.419</x:v>
      </x:c>
      <x:c r="H9" s="8" t="n">
        <x:v>482.926</x:v>
      </x:c>
      <x:c r="I9" s="8" t="n">
        <x:v>489.534</x:v>
      </x:c>
      <x:c r="J9" s="8" t="n">
        <x:v>496.245</x:v>
      </x:c>
      <x:c r="K9" s="8" t="n">
        <x:v>503.059</x:v>
      </x:c>
      <x:c r="L9" s="8" t="n">
        <x:v>509.979</x:v>
      </x:c>
      <x:c r="M9" s="8" t="n">
        <x:v>517.005</x:v>
      </x:c>
      <x:c r="N9" s="8" t="n">
        <x:v>524.138</x:v>
      </x:c>
      <x:c r="O9" s="8" t="n">
        <x:v>531.379</x:v>
      </x:c>
      <x:c r="P9" s="8" t="n">
        <x:v>538.73</x:v>
      </x:c>
      <x:c r="Q9" s="8" t="n">
        <x:v>546.191</x:v>
      </x:c>
      <x:c r="R9" s="8" t="n">
        <x:v>553.764</x:v>
      </x:c>
      <x:c r="S9" s="8" t="n">
        <x:v>561.449</x:v>
      </x:c>
      <x:c r="T9" s="8" t="n">
        <x:v>569.247</x:v>
      </x:c>
      <x:c r="U9" s="8" t="n">
        <x:v>577.159</x:v>
      </x:c>
      <x:c r="V9" s="8" t="n">
        <x:v>585.185</x:v>
      </x:c>
      <x:c r="W9" s="8" t="n">
        <x:v>593.327</x:v>
      </x:c>
    </x:row>
    <x:row r="10" ht="21" customHeight="1">
      <x:c r="A10" s="8" t="n">
        <x:v>-75</x:v>
      </x:c>
      <x:c r="B10" s="8" t="n">
        <x:v>0.033</x:v>
      </x:c>
      <x:c r="C10" s="8" t="n">
        <x:v>457.397</x:v>
      </x:c>
      <x:c r="D10" s="8" t="n">
        <x:v>463.611</x:v>
      </x:c>
      <x:c r="E10" s="8" t="n">
        <x:v>469.923</x:v>
      </x:c>
      <x:c r="F10" s="8" t="n">
        <x:v>476.335</x:v>
      </x:c>
      <x:c r="G10" s="8" t="n">
        <x:v>482.846</x:v>
      </x:c>
      <x:c r="H10" s="8" t="n">
        <x:v>489.459</x:v>
      </x:c>
      <x:c r="I10" s="8" t="n">
        <x:v>496.174</x:v>
      </x:c>
      <x:c r="J10" s="8" t="n">
        <x:v>502.992</x:v>
      </x:c>
      <x:c r="K10" s="8" t="n">
        <x:v>509.916</x:v>
      </x:c>
      <x:c r="L10" s="8" t="n">
        <x:v>516.945</x:v>
      </x:c>
      <x:c r="M10" s="8" t="n">
        <x:v>524.081</x:v>
      </x:c>
      <x:c r="N10" s="8" t="n">
        <x:v>531.325</x:v>
      </x:c>
      <x:c r="O10" s="8" t="n">
        <x:v>538.678</x:v>
      </x:c>
      <x:c r="P10" s="8" t="n">
        <x:v>546.142</x:v>
      </x:c>
      <x:c r="Q10" s="8" t="n">
        <x:v>553.717</x:v>
      </x:c>
      <x:c r="R10" s="8" t="n">
        <x:v>561.403</x:v>
      </x:c>
      <x:c r="S10" s="8" t="n">
        <x:v>569.203</x:v>
      </x:c>
      <x:c r="T10" s="8" t="n">
        <x:v>577.117</x:v>
      </x:c>
      <x:c r="U10" s="8" t="n">
        <x:v>585.145</x:v>
      </x:c>
      <x:c r="V10" s="8" t="n">
        <x:v>593.289</x:v>
      </x:c>
      <x:c r="W10" s="8" t="n">
        <x:v>601.549</x:v>
      </x:c>
    </x:row>
    <x:row r="11" ht="21" customHeight="1">
      <x:c r="A11" s="8" t="n">
        <x:v>-70</x:v>
      </x:c>
      <x:c r="B11" s="8" t="n">
        <x:v>0.048</x:v>
      </x:c>
      <x:c r="C11" s="8" t="n">
        <x:v>463.479</x:v>
      </x:c>
      <x:c r="D11" s="8" t="n">
        <x:v>469.8</x:v>
      </x:c>
      <x:c r="E11" s="8" t="n">
        <x:v>476.218</x:v>
      </x:c>
      <x:c r="F11" s="8" t="n">
        <x:v>482.737</x:v>
      </x:c>
      <x:c r="G11" s="8" t="n">
        <x:v>489.356</x:v>
      </x:c>
      <x:c r="H11" s="8" t="n">
        <x:v>496.077</x:v>
      </x:c>
      <x:c r="I11" s="8" t="n">
        <x:v>502.901</x:v>
      </x:c>
      <x:c r="J11" s="8" t="n">
        <x:v>509.829</x:v>
      </x:c>
      <x:c r="K11" s="8" t="n">
        <x:v>516.862</x:v>
      </x:c>
      <x:c r="L11" s="8" t="n">
        <x:v>524.003</x:v>
      </x:c>
      <x:c r="M11" s="8" t="n">
        <x:v>531.251</x:v>
      </x:c>
      <x:c r="N11" s="8" t="n">
        <x:v>538.607</x:v>
      </x:c>
      <x:c r="O11" s="8" t="n">
        <x:v>546.074</x:v>
      </x:c>
      <x:c r="P11" s="8" t="n">
        <x:v>553.652</x:v>
      </x:c>
      <x:c r="Q11" s="8" t="n">
        <x:v>561.341</x:v>
      </x:c>
      <x:c r="R11" s="8" t="n">
        <x:v>569.144</x:v>
      </x:c>
      <x:c r="S11" s="8" t="n">
        <x:v>577.06</x:v>
      </x:c>
      <x:c r="T11" s="8" t="n">
        <x:v>585.091</x:v>
      </x:c>
      <x:c r="U11" s="8" t="n">
        <x:v>593.237</x:v>
      </x:c>
      <x:c r="V11" s="8" t="n">
        <x:v>601.498</x:v>
      </x:c>
      <x:c r="W11" s="8" t="n">
        <x:v>609.876</x:v>
      </x:c>
    </x:row>
    <x:row r="12" ht="21" customHeight="1">
      <x:c r="A12" s="8" t="n">
        <x:v>-65</x:v>
      </x:c>
      <x:c r="B12" s="8" t="n">
        <x:v>0.067</x:v>
      </x:c>
      <x:c r="C12" s="8" t="n">
        <x:v>469.633</x:v>
      </x:c>
      <x:c r="D12" s="8" t="n">
        <x:v>476.062</x:v>
      </x:c>
      <x:c r="E12" s="8" t="n">
        <x:v>482.59</x:v>
      </x:c>
      <x:c r="F12" s="8" t="n">
        <x:v>489.218</x:v>
      </x:c>
      <x:c r="G12" s="8" t="n">
        <x:v>495.946</x:v>
      </x:c>
      <x:c r="H12" s="8" t="n">
        <x:v>502.777</x:v>
      </x:c>
      <x:c r="I12" s="8" t="n">
        <x:v>509.712</x:v>
      </x:c>
      <x:c r="J12" s="8" t="n">
        <x:v>516.752</x:v>
      </x:c>
      <x:c r="K12" s="8" t="n">
        <x:v>523.897</x:v>
      </x:c>
      <x:c r="L12" s="8" t="n">
        <x:v>531.15</x:v>
      </x:c>
      <x:c r="M12" s="8" t="n">
        <x:v>538.512</x:v>
      </x:c>
      <x:c r="N12" s="8" t="n">
        <x:v>545.983</x:v>
      </x:c>
      <x:c r="O12" s="8" t="n">
        <x:v>553.565</x:v>
      </x:c>
      <x:c r="P12" s="8" t="n">
        <x:v>561.258</x:v>
      </x:c>
      <x:c r="Q12" s="8" t="n">
        <x:v>569.064</x:v>
      </x:c>
      <x:c r="R12" s="8" t="n">
        <x:v>576.984</x:v>
      </x:c>
      <x:c r="S12" s="8" t="n">
        <x:v>585.018</x:v>
      </x:c>
      <x:c r="T12" s="8" t="n">
        <x:v>593.166</x:v>
      </x:c>
      <x:c r="U12" s="8" t="n">
        <x:v>601.431</x:v>
      </x:c>
      <x:c r="V12" s="8" t="n">
        <x:v>609.811</x:v>
      </x:c>
      <x:c r="W12" s="8" t="n">
        <x:v>618.309</x:v>
      </x:c>
    </x:row>
    <x:row r="13" ht="21" customHeight="1">
      <x:c r="A13" s="8" t="n">
        <x:v>-60</x:v>
      </x:c>
      <x:c r="B13" s="8" t="n">
        <x:v>0.093</x:v>
      </x:c>
      <x:c r="C13" s="8" t="n">
        <x:v>475.855</x:v>
      </x:c>
      <x:c r="D13" s="8" t="n">
        <x:v>482.395</x:v>
      </x:c>
      <x:c r="E13" s="8" t="n">
        <x:v>489.035</x:v>
      </x:c>
      <x:c r="F13" s="8" t="n">
        <x:v>495.774</x:v>
      </x:c>
      <x:c r="G13" s="8" t="n">
        <x:v>502.614</x:v>
      </x:c>
      <x:c r="H13" s="8" t="n">
        <x:v>509.558</x:v>
      </x:c>
      <x:c r="I13" s="8" t="n">
        <x:v>516.605</x:v>
      </x:c>
      <x:c r="J13" s="8" t="n">
        <x:v>523.758</x:v>
      </x:c>
      <x:c r="K13" s="8" t="n">
        <x:v>531.018</x:v>
      </x:c>
      <x:c r="L13" s="8" t="n">
        <x:v>538.386</x:v>
      </x:c>
      <x:c r="M13" s="8" t="n">
        <x:v>545.863</x:v>
      </x:c>
      <x:c r="N13" s="8" t="n">
        <x:v>553.45</x:v>
      </x:c>
      <x:c r="O13" s="8" t="n">
        <x:v>561.149</x:v>
      </x:c>
      <x:c r="P13" s="8" t="n">
        <x:v>568.959</x:v>
      </x:c>
      <x:c r="Q13" s="8" t="n">
        <x:v>576.883</x:v>
      </x:c>
      <x:c r="R13" s="8" t="n">
        <x:v>584.921</x:v>
      </x:c>
      <x:c r="S13" s="8" t="n">
        <x:v>593.074</x:v>
      </x:c>
      <x:c r="T13" s="8" t="n">
        <x:v>601.341</x:v>
      </x:c>
      <x:c r="U13" s="8" t="n">
        <x:v>609.725</x:v>
      </x:c>
      <x:c r="V13" s="8" t="n">
        <x:v>618.226</x:v>
      </x:c>
      <x:c r="W13" s="8" t="n">
        <x:v>626.844</x:v>
      </x:c>
    </x:row>
    <x:row r="14" ht="21" customHeight="1">
      <x:c r="A14" s="8" t="n">
        <x:v>-55</x:v>
      </x:c>
      <x:c r="B14" s="8" t="n">
        <x:v>0.126</x:v>
      </x:c>
      <x:c r="C14" s="8" t="n">
        <x:v>482.142</x:v>
      </x:c>
      <x:c r="D14" s="8" t="n">
        <x:v>488.796</x:v>
      </x:c>
      <x:c r="E14" s="8" t="n">
        <x:v>495.549</x:v>
      </x:c>
      <x:c r="F14" s="8" t="n">
        <x:v>502.402</x:v>
      </x:c>
      <x:c r="G14" s="8" t="n">
        <x:v>509.357</x:v>
      </x:c>
      <x:c r="H14" s="8" t="n">
        <x:v>516.415</x:v>
      </x:c>
      <x:c r="I14" s="8" t="n">
        <x:v>523.578</x:v>
      </x:c>
      <x:c r="J14" s="8" t="n">
        <x:v>530.846</x:v>
      </x:c>
      <x:c r="K14" s="8" t="n">
        <x:v>538.222</x:v>
      </x:c>
      <x:c r="L14" s="8" t="n">
        <x:v>545.707</x:v>
      </x:c>
      <x:c r="M14" s="8" t="n">
        <x:v>553.301</x:v>
      </x:c>
      <x:c r="N14" s="8" t="n">
        <x:v>561.006</x:v>
      </x:c>
      <x:c r="O14" s="8" t="n">
        <x:v>568.823</x:v>
      </x:c>
      <x:c r="P14" s="8" t="n">
        <x:v>576.752</x:v>
      </x:c>
      <x:c r="Q14" s="8" t="n">
        <x:v>584.796</x:v>
      </x:c>
      <x:c r="R14" s="8" t="n">
        <x:v>592.953</x:v>
      </x:c>
      <x:c r="S14" s="8" t="n">
        <x:v>601.226</x:v>
      </x:c>
      <x:c r="T14" s="8" t="n">
        <x:v>609.614</x:v>
      </x:c>
      <x:c r="U14" s="8" t="n">
        <x:v>618.119</x:v>
      </x:c>
      <x:c r="V14" s="8" t="n">
        <x:v>626.74</x:v>
      </x:c>
      <x:c r="W14" s="8" t="n">
        <x:v>635.479</x:v>
      </x:c>
    </x:row>
    <x:row r="15" ht="21" customHeight="1">
      <x:c r="A15" s="8" t="n">
        <x:v>-50</x:v>
      </x:c>
      <x:c r="B15" s="8" t="n">
        <x:v>0.168</x:v>
      </x:c>
      <x:c r="C15" s="8" t="n">
        <x:v>488.489</x:v>
      </x:c>
      <x:c r="D15" s="8" t="n">
        <x:v>495.26</x:v>
      </x:c>
      <x:c r="E15" s="8" t="n">
        <x:v>502.129</x:v>
      </x:c>
      <x:c r="F15" s="8" t="n">
        <x:v>509.099</x:v>
      </x:c>
      <x:c r="G15" s="8" t="n">
        <x:v>516.171</x:v>
      </x:c>
      <x:c r="H15" s="8" t="n">
        <x:v>523.346</x:v>
      </x:c>
      <x:c r="I15" s="8" t="n">
        <x:v>530.626</x:v>
      </x:c>
      <x:c r="J15" s="8" t="n">
        <x:v>538.013</x:v>
      </x:c>
      <x:c r="K15" s="8" t="n">
        <x:v>545.507</x:v>
      </x:c>
      <x:c r="L15" s="8" t="n">
        <x:v>553.11</x:v>
      </x:c>
      <x:c r="M15" s="8" t="n">
        <x:v>560.824</x:v>
      </x:c>
      <x:c r="N15" s="8" t="n">
        <x:v>568.648</x:v>
      </x:c>
      <x:c r="O15" s="8" t="n">
        <x:v>576.585</x:v>
      </x:c>
      <x:c r="P15" s="8" t="n">
        <x:v>584.635</x:v>
      </x:c>
      <x:c r="Q15" s="8" t="n">
        <x:v>592.799</x:v>
      </x:c>
      <x:c r="R15" s="8" t="n">
        <x:v>601.078</x:v>
      </x:c>
      <x:c r="S15" s="8" t="n">
        <x:v>609.472</x:v>
      </x:c>
      <x:c r="T15" s="8" t="n">
        <x:v>617.982</x:v>
      </x:c>
      <x:c r="U15" s="8" t="n">
        <x:v>626.602</x:v>
      </x:c>
      <x:c r="V15" s="8" t="n">
        <x:v>635.351</x:v>
      </x:c>
      <x:c r="W15" s="8" t="n">
        <x:v>644.212</x:v>
      </x:c>
    </x:row>
    <x:row r="16" ht="21" customHeight="1">
      <x:c r="A16" s="8" t="n">
        <x:v>-45</x:v>
      </x:c>
      <x:c r="B16" s="8" t="n">
        <x:v>0.221</x:v>
      </x:c>
      <x:c r="C16" s="8" t="n">
        <x:v>494.893</x:v>
      </x:c>
      <x:c r="D16" s="8" t="n">
        <x:v>501.783</x:v>
      </x:c>
      <x:c r="E16" s="8" t="n">
        <x:v>508.772</x:v>
      </x:c>
      <x:c r="F16" s="8" t="n">
        <x:v>515.861</x:v>
      </x:c>
      <x:c r="G16" s="8" t="n">
        <x:v>523.052</x:v>
      </x:c>
      <x:c r="H16" s="8" t="n">
        <x:v>530.347</x:v>
      </x:c>
      <x:c r="I16" s="8" t="n">
        <x:v>537.747</x:v>
      </x:c>
      <x:c r="J16" s="8" t="n">
        <x:v>545.254</x:v>
      </x:c>
      <x:c r="K16" s="8" t="n">
        <x:v>552.869</x:v>
      </x:c>
      <x:c r="L16" s="8" t="n">
        <x:v>560.593</x:v>
      </x:c>
      <x:c r="M16" s="8" t="n">
        <x:v>568.428</x:v>
      </x:c>
      <x:c r="N16" s="8" t="n">
        <x:v>576.374</x:v>
      </x:c>
      <x:c r="O16" s="8" t="n">
        <x:v>584.433</x:v>
      </x:c>
      <x:c r="P16" s="8" t="n">
        <x:v>592.605</x:v>
      </x:c>
      <x:c r="Q16" s="8" t="n">
        <x:v>600.891</x:v>
      </x:c>
      <x:c r="R16" s="8" t="n">
        <x:v>609.292</x:v>
      </x:c>
      <x:c r="S16" s="8" t="n">
        <x:v>617.809</x:v>
      </x:c>
      <x:c r="T16" s="8" t="n">
        <x:v>626.441</x:v>
      </x:c>
      <x:c r="U16" s="8" t="n">
        <x:v>635.191</x:v>
      </x:c>
      <x:c r="V16" s="8" t="n">
        <x:v>644.057</x:v>
      </x:c>
      <x:c r="W16" s="8" t="n">
        <x:v>653.04</x:v>
      </x:c>
    </x:row>
    <x:row r="17" ht="21" customHeight="1">
      <x:c r="A17" s="8" t="n">
        <x:v>-40</x:v>
      </x:c>
      <x:c r="B17" s="8" t="n">
        <x:v>0.287</x:v>
      </x:c>
      <x:c r="C17" s="8" t="n">
        <x:v>501.349</x:v>
      </x:c>
      <x:c r="D17" s="8" t="n">
        <x:v>508.362</x:v>
      </x:c>
      <x:c r="E17" s="8" t="n">
        <x:v>515.473</x:v>
      </x:c>
      <x:c r="F17" s="8" t="n">
        <x:v>522.685</x:v>
      </x:c>
      <x:c r="G17" s="8" t="n">
        <x:v>529.999</x:v>
      </x:c>
      <x:c r="H17" s="8" t="n">
        <x:v>537.416</x:v>
      </x:c>
      <x:c r="I17" s="8" t="n">
        <x:v>544.938</x:v>
      </x:c>
      <x:c r="J17" s="8" t="n">
        <x:v>552.568</x:v>
      </x:c>
      <x:c r="K17" s="8" t="n">
        <x:v>560.306</x:v>
      </x:c>
      <x:c r="L17" s="8" t="n">
        <x:v>568.153</x:v>
      </x:c>
      <x:c r="M17" s="8" t="n">
        <x:v>576.111</x:v>
      </x:c>
      <x:c r="N17" s="8" t="n">
        <x:v>584.18</x:v>
      </x:c>
      <x:c r="O17" s="8" t="n">
        <x:v>592.362</x:v>
      </x:c>
      <x:c r="P17" s="8" t="n">
        <x:v>600.658</x:v>
      </x:c>
      <x:c r="Q17" s="8" t="n">
        <x:v>609.068</x:v>
      </x:c>
      <x:c r="R17" s="8" t="n">
        <x:v>617.593</x:v>
      </x:c>
      <x:c r="S17" s="8" t="n">
        <x:v>626.234</x:v>
      </x:c>
      <x:c r="T17" s="8" t="n">
        <x:v>634.99</x:v>
      </x:c>
      <x:c r="U17" s="8" t="n">
        <x:v>643.663</x:v>
      </x:c>
      <x:c r="V17" s="8" t="n">
        <x:v>652.853</x:v>
      </x:c>
      <x:c r="W17" s="8" t="n">
        <x:v>661.96</x:v>
      </x:c>
    </x:row>
    <x:row r="18" ht="21" customHeight="1">
      <x:c r="A18" s="8" t="n">
        <x:v>-35</x:v>
      </x:c>
      <x:c r="B18" s="8" t="n">
        <x:v>0.368</x:v>
      </x:c>
      <x:c r="C18" s="8" t="n">
        <x:v>507.853</x:v>
      </x:c>
      <x:c r="D18" s="8" t="n">
        <x:v>514.992</x:v>
      </x:c>
      <x:c r="E18" s="8" t="n">
        <x:v>522.229</x:v>
      </x:c>
      <x:c r="F18" s="8" t="n">
        <x:v>529.566</x:v>
      </x:c>
      <x:c r="G18" s="8" t="n">
        <x:v>537.005</x:v>
      </x:c>
      <x:c r="H18" s="8" t="n">
        <x:v>544.548</x:v>
      </x:c>
      <x:c r="I18" s="8" t="n">
        <x:v>552.196</x:v>
      </x:c>
      <x:c r="J18" s="8" t="n">
        <x:v>559.95</x:v>
      </x:c>
      <x:c r="K18" s="8" t="n">
        <x:v>567.813</x:v>
      </x:c>
      <x:c r="L18" s="8" t="n">
        <x:v>575.785</x:v>
      </x:c>
      <x:c r="M18" s="8" t="n">
        <x:v>583.869</x:v>
      </x:c>
      <x:c r="N18" s="8" t="n">
        <x:v>592.063</x:v>
      </x:c>
      <x:c r="O18" s="8" t="n">
        <x:v>600.371</x:v>
      </x:c>
      <x:c r="P18" s="8" t="n">
        <x:v>608.792</x:v>
      </x:c>
      <x:c r="Q18" s="8" t="n">
        <x:v>617.328</x:v>
      </x:c>
      <x:c r="R18" s="8" t="n">
        <x:v>625.978</x:v>
      </x:c>
      <x:c r="S18" s="8" t="n">
        <x:v>634.744</x:v>
      </x:c>
      <x:c r="T18" s="8" t="n">
        <x:v>643.625</x:v>
      </x:c>
      <x:c r="U18" s="8" t="n">
        <x:v>652.624</x:v>
      </x:c>
      <x:c r="V18" s="8" t="n">
        <x:v>661.738</x:v>
      </x:c>
      <x:c r="W18" s="8" t="n">
        <x:v>670.97</x:v>
      </x:c>
    </x:row>
    <x:row r="19" ht="21" customHeight="1">
      <x:c r="A19" s="8" t="n">
        <x:v>-30</x:v>
      </x:c>
      <x:c r="B19" s="8" t="n">
        <x:v>0.466</x:v>
      </x:c>
      <x:c r="C19" s="8" t="n">
        <x:v>514.4</x:v>
      </x:c>
      <x:c r="D19" s="8" t="n">
        <x:v>521.67</x:v>
      </x:c>
      <x:c r="E19" s="8" t="n">
        <x:v>529.036</x:v>
      </x:c>
      <x:c r="F19" s="8" t="n">
        <x:v>536.502</x:v>
      </x:c>
      <x:c r="G19" s="8" t="n">
        <x:v>544.069</x:v>
      </x:c>
      <x:c r="H19" s="8" t="n">
        <x:v>551.739</x:v>
      </x:c>
      <x:c r="I19" s="8" t="n">
        <x:v>559.515</x:v>
      </x:c>
      <x:c r="J19" s="8" t="n">
        <x:v>567.397</x:v>
      </x:c>
      <x:c r="K19" s="8" t="n">
        <x:v>575.388</x:v>
      </x:c>
      <x:c r="L19" s="8" t="n">
        <x:v>583.488</x:v>
      </x:c>
      <x:c r="M19" s="8" t="n">
        <x:v>591.698</x:v>
      </x:c>
      <x:c r="N19" s="8" t="n">
        <x:v>600.021</x:v>
      </x:c>
      <x:c r="O19" s="8" t="n">
        <x:v>608.455</x:v>
      </x:c>
      <x:c r="P19" s="8" t="n">
        <x:v>617.004</x:v>
      </x:c>
      <x:c r="Q19" s="8" t="n">
        <x:v>625.666</x:v>
      </x:c>
      <x:c r="R19" s="8" t="n">
        <x:v>634.443</x:v>
      </x:c>
      <x:c r="S19" s="8" t="n">
        <x:v>643.336</x:v>
      </x:c>
      <x:c r="T19" s="8" t="n">
        <x:v>652.344</x:v>
      </x:c>
      <x:c r="U19" s="8" t="n">
        <x:v>661.468</x:v>
      </x:c>
      <x:c r="V19" s="8" t="n">
        <x:v>670.708</x:v>
      </x:c>
      <x:c r="W19" s="8" t="n">
        <x:v>680.065</x:v>
      </x:c>
    </x:row>
    <x:row r="20" ht="21" customHeight="1">
      <x:c r="A20" s="8" t="n">
        <x:v>-25</x:v>
      </x:c>
      <x:c r="B20" s="8" t="n">
        <x:v>0.584</x:v>
      </x:c>
      <x:c r="C20" s="8" t="n">
        <x:v>520.987</x:v>
      </x:c>
      <x:c r="D20" s="8" t="n">
        <x:v>528.39</x:v>
      </x:c>
      <x:c r="E20" s="8" t="n">
        <x:v>535.889</x:v>
      </x:c>
      <x:c r="F20" s="8" t="n">
        <x:v>543.487</x:v>
      </x:c>
      <x:c r="G20" s="8" t="n">
        <x:v>551.186</x:v>
      </x:c>
      <x:c r="H20" s="8" t="n">
        <x:v>558.987</x:v>
      </x:c>
      <x:c r="I20" s="8" t="n">
        <x:v>566.894</x:v>
      </x:c>
      <x:c r="J20" s="8" t="n">
        <x:v>574.906</x:v>
      </x:c>
      <x:c r="K20" s="8" t="n">
        <x:v>583.027</x:v>
      </x:c>
      <x:c r="L20" s="8" t="n">
        <x:v>591.257</x:v>
      </x:c>
      <x:c r="M20" s="8" t="n">
        <x:v>599.597</x:v>
      </x:c>
      <x:c r="N20" s="8" t="n">
        <x:v>608.048</x:v>
      </x:c>
      <x:c r="O20" s="8" t="n">
        <x:v>616.612</x:v>
      </x:c>
      <x:c r="P20" s="8" t="n">
        <x:v>625.289</x:v>
      </x:c>
      <x:c r="Q20" s="8" t="n">
        <x:v>634.08</x:v>
      </x:c>
      <x:c r="R20" s="8" t="n">
        <x:v>642.985</x:v>
      </x:c>
      <x:c r="S20" s="8" t="n">
        <x:v>652.006</x:v>
      </x:c>
      <x:c r="T20" s="8" t="n">
        <x:v>661.141</x:v>
      </x:c>
      <x:c r="U20" s="8" t="n">
        <x:v>670.393</x:v>
      </x:c>
      <x:c r="V20" s="8" t="n">
        <x:v>679.76</x:v>
      </x:c>
      <x:c r="W20" s="8" t="n">
        <x:v>689.243</x:v>
      </x:c>
    </x:row>
    <x:row r="21" ht="21" customHeight="1">
      <x:c r="A21" s="8" t="n">
        <x:v>-20</x:v>
      </x:c>
      <x:c r="B21" s="8" t="n">
        <x:v>0.725</x:v>
      </x:c>
      <x:c r="C21" s="8" t="n">
        <x:v>527.607</x:v>
      </x:c>
      <x:c r="D21" s="8" t="n">
        <x:v>535.148</x:v>
      </x:c>
      <x:c r="E21" s="8" t="n">
        <x:v>542.784</x:v>
      </x:c>
      <x:c r="F21" s="8" t="n">
        <x:v>550.518</x:v>
      </x:c>
      <x:c r="G21" s="8" t="n">
        <x:v>558.351</x:v>
      </x:c>
      <x:c r="H21" s="8" t="n">
        <x:v>566.287</x:v>
      </x:c>
      <x:c r="I21" s="8" t="n">
        <x:v>574.327</x:v>
      </x:c>
      <x:c r="J21" s="8" t="n">
        <x:v>582.473</x:v>
      </x:c>
      <x:c r="K21" s="8" t="n">
        <x:v>590.726</x:v>
      </x:c>
      <x:c r="L21" s="8" t="n">
        <x:v>599.088</x:v>
      </x:c>
      <x:c r="M21" s="8" t="n">
        <x:v>607.56</x:v>
      </x:c>
      <x:c r="N21" s="8" t="n">
        <x:v>616.143</x:v>
      </x:c>
      <x:c r="O21" s="8" t="n">
        <x:v>624.838</x:v>
      </x:c>
      <x:c r="P21" s="8" t="n">
        <x:v>633.645</x:v>
      </x:c>
      <x:c r="Q21" s="8" t="n">
        <x:v>642.566</x:v>
      </x:c>
      <x:c r="R21" s="8" t="n">
        <x:v>651.601</x:v>
      </x:c>
      <x:c r="S21" s="8" t="n">
        <x:v>660.751</x:v>
      </x:c>
      <x:c r="T21" s="8" t="n">
        <x:v>670.015</x:v>
      </x:c>
      <x:c r="U21" s="8" t="n">
        <x:v>679.395</x:v>
      </x:c>
      <x:c r="V21" s="8" t="n">
        <x:v>688.889</x:v>
      </x:c>
      <x:c r="W21" s="8" t="n">
        <x:v>698.5</x:v>
      </x:c>
    </x:row>
    <x:row r="22" ht="21" customHeight="1">
      <x:c r="A22" s="8" t="n">
        <x:v>-15</x:v>
      </x:c>
      <x:c r="B22" s="8" t="n">
        <x:v>0.891</x:v>
      </x:c>
      <x:c r="C22" s="8" t="n">
        <x:v>534.257</x:v>
      </x:c>
      <x:c r="D22" s="8" t="n">
        <x:v>541.941</x:v>
      </x:c>
      <x:c r="E22" s="8" t="n">
        <x:v>549.717</x:v>
      </x:c>
      <x:c r="F22" s="8" t="n">
        <x:v>557.59</x:v>
      </x:c>
      <x:c r="G22" s="8" t="n">
        <x:v>565.562</x:v>
      </x:c>
      <x:c r="H22" s="8" t="n">
        <x:v>573.635</x:v>
      </x:c>
      <x:c r="I22" s="8" t="n">
        <x:v>581.812</x:v>
      </x:c>
      <x:c r="J22" s="8" t="n">
        <x:v>590.094</x:v>
      </x:c>
      <x:c r="K22" s="8" t="n">
        <x:v>598.482</x:v>
      </x:c>
      <x:c r="L22" s="8" t="n">
        <x:v>606.979</x:v>
      </x:c>
      <x:c r="M22" s="8" t="n">
        <x:v>615.585</x:v>
      </x:c>
      <x:c r="N22" s="8" t="n">
        <x:v>624.301</x:v>
      </x:c>
      <x:c r="O22" s="8" t="n">
        <x:v>633.129</x:v>
      </x:c>
      <x:c r="P22" s="8" t="n">
        <x:v>642.069</x:v>
      </x:c>
      <x:c r="Q22" s="8" t="n">
        <x:v>651.121</x:v>
      </x:c>
      <x:c r="R22" s="8" t="n">
        <x:v>660.288</x:v>
      </x:c>
      <x:c r="S22" s="8" t="n">
        <x:v>669.568</x:v>
      </x:c>
      <x:c r="T22" s="8" t="n">
        <x:v>678.962</x:v>
      </x:c>
      <x:c r="U22" s="8" t="n">
        <x:v>688.471</x:v>
      </x:c>
      <x:c r="V22" s="8" t="n">
        <x:v>698.094</x:v>
      </x:c>
      <x:c r="W22" s="8" t="n">
        <x:v>707.832</x:v>
      </x:c>
    </x:row>
    <x:row r="23" ht="21" customHeight="1">
      <x:c r="A23" s="8" t="n">
        <x:v>-11.76</x:v>
      </x:c>
      <x:c r="B23" s="8" t="n">
        <x:v>1.013</x:v>
      </x:c>
      <x:c r="C23" s="8" t="n">
        <x:v>538.587</x:v>
      </x:c>
      <x:c r="D23" s="8" t="n">
        <x:v>546.364</x:v>
      </x:c>
      <x:c r="E23" s="8" t="n">
        <x:v>554.234</x:v>
      </x:c>
      <x:c r="F23" s="8" t="n">
        <x:v>562.2</x:v>
      </x:c>
      <x:c r="G23" s="8" t="n">
        <x:v>570.264</x:v>
      </x:c>
      <x:c r="H23" s="8" t="n">
        <x:v>578.428</x:v>
      </x:c>
      <x:c r="I23" s="8" t="n">
        <x:v>586.695</x:v>
      </x:c>
      <x:c r="J23" s="8" t="n">
        <x:v>595.066</x:v>
      </x:c>
      <x:c r="K23" s="8" t="n">
        <x:v>603.544</x:v>
      </x:c>
      <x:c r="L23" s="8" t="n">
        <x:v>612.129</x:v>
      </x:c>
      <x:c r="M23" s="8" t="n">
        <x:v>620.823</x:v>
      </x:c>
      <x:c r="N23" s="8" t="n">
        <x:v>629.627</x:v>
      </x:c>
      <x:c r="O23" s="8" t="n">
        <x:v>638.542</x:v>
      </x:c>
      <x:c r="P23" s="8" t="n">
        <x:v>647.569</x:v>
      </x:c>
      <x:c r="Q23" s="8" t="n">
        <x:v>656.708</x:v>
      </x:c>
      <x:c r="R23" s="8" t="n">
        <x:v>665.96</x:v>
      </x:c>
      <x:c r="S23" s="8" t="n">
        <x:v>675.326</x:v>
      </x:c>
      <x:c r="T23" s="8" t="n">
        <x:v>684.805</x:v>
      </x:c>
      <x:c r="U23" s="8" t="n">
        <x:v>694.398</x:v>
      </x:c>
      <x:c r="V23" s="8" t="n">
        <x:v>704.106</x:v>
      </x:c>
      <x:c r="W23" s="8" t="n">
        <x:v>713.927</x:v>
      </x:c>
    </x:row>
    <x:row r="24" ht="21" customHeight="1">
      <x:c r="A24" s="8" t="n">
        <x:v>-10</x:v>
      </x:c>
      <x:c r="B24" s="8" t="n">
        <x:v>1.085</x:v>
      </x:c>
      <x:c r="C24" s="8" t="n">
        <x:v>540.933</x:v>
      </x:c>
      <x:c r="D24" s="8" t="n">
        <x:v>548.762</x:v>
      </x:c>
      <x:c r="E24" s="8" t="n">
        <x:v>556.684</x:v>
      </x:c>
      <x:c r="F24" s="8" t="n">
        <x:v>564.7</x:v>
      </x:c>
      <x:c r="G24" s="8" t="n">
        <x:v>572.814</x:v>
      </x:c>
      <x:c r="H24" s="8" t="n">
        <x:v>581.028</x:v>
      </x:c>
      <x:c r="I24" s="8" t="n">
        <x:v>589.344</x:v>
      </x:c>
      <x:c r="J24" s="8" t="n">
        <x:v>597.765</x:v>
      </x:c>
      <x:c r="K24" s="8" t="n">
        <x:v>606.291</x:v>
      </x:c>
      <x:c r="L24" s="8" t="n">
        <x:v>614.924</x:v>
      </x:c>
      <x:c r="M24" s="8" t="n">
        <x:v>623.667</x:v>
      </x:c>
      <x:c r="N24" s="8" t="n">
        <x:v>632.519</x:v>
      </x:c>
      <x:c r="O24" s="8" t="n">
        <x:v>641.481</x:v>
      </x:c>
      <x:c r="P24" s="8" t="n">
        <x:v>650.555</x:v>
      </x:c>
      <x:c r="Q24" s="8" t="n">
        <x:v>659.742</x:v>
      </x:c>
      <x:c r="R24" s="8" t="n">
        <x:v>669.04</x:v>
      </x:c>
      <x:c r="S24" s="8" t="n">
        <x:v>678.452</x:v>
      </x:c>
      <x:c r="T24" s="8" t="n">
        <x:v>687.978</x:v>
      </x:c>
      <x:c r="U24" s="8" t="n">
        <x:v>697.617</x:v>
      </x:c>
      <x:c r="V24" s="8" t="n">
        <x:v>707.37</x:v>
      </x:c>
      <x:c r="W24" s="8" t="n">
        <x:v>717.237</x:v>
      </x:c>
    </x:row>
    <x:row r="25" ht="21" customHeight="1">
      <x:c r="A25" s="8" t="n">
        <x:v>-5</x:v>
      </x:c>
      <x:c r="B25" s="8" t="n">
        <x:v>1.31</x:v>
      </x:c>
      <x:c r="C25" s="8" t="n">
        <x:v>547.628</x:v>
      </x:c>
      <x:c r="D25" s="8" t="n">
        <x:v>555.609</x:v>
      </x:c>
      <x:c r="E25" s="8" t="n">
        <x:v>563.679</x:v>
      </x:c>
      <x:c r="F25" s="8" t="n">
        <x:v>571.843</x:v>
      </x:c>
      <x:c r="G25" s="8" t="n">
        <x:v>580.102</x:v>
      </x:c>
      <x:c r="H25" s="8" t="n">
        <x:v>588.46</x:v>
      </x:c>
      <x:c r="I25" s="8" t="n">
        <x:v>596.92</x:v>
      </x:c>
      <x:c r="J25" s="8" t="n">
        <x:v>605.482</x:v>
      </x:c>
      <x:c r="K25" s="8" t="n">
        <x:v>614.149</x:v>
      </x:c>
      <x:c r="L25" s="8" t="n">
        <x:v>622.922</x:v>
      </x:c>
      <x:c r="M25" s="8" t="n">
        <x:v>631.803</x:v>
      </x:c>
      <x:c r="N25" s="8" t="n">
        <x:v>640.792</x:v>
      </x:c>
      <x:c r="O25" s="8" t="n">
        <x:v>649.892</x:v>
      </x:c>
      <x:c r="P25" s="8" t="n">
        <x:v>659.102</x:v>
      </x:c>
      <x:c r="Q25" s="8" t="n">
        <x:v>668.423</x:v>
      </x:c>
      <x:c r="R25" s="8" t="n">
        <x:v>677.856</x:v>
      </x:c>
      <x:c r="S25" s="8" t="n">
        <x:v>687.401</x:v>
      </x:c>
      <x:c r="T25" s="8" t="n">
        <x:v>697.059</x:v>
      </x:c>
      <x:c r="U25" s="8" t="n">
        <x:v>706.82</x:v>
      </x:c>
      <x:c r="V25" s="8" t="n">
        <x:v>716.714</x:v>
      </x:c>
      <x:c r="W25" s="8" t="n">
        <x:v>726.711</x:v>
      </x:c>
    </x:row>
    <x:row r="26" ht="21" customHeight="1">
      <x:c r="A26" s="8" t="n">
        <x:v>0</x:v>
      </x:c>
      <x:c r="B26" s="8" t="n">
        <x:v>1.57</x:v>
      </x:c>
      <x:c r="C26" s="8" t="n">
        <x:v>554.337</x:v>
      </x:c>
      <x:c r="D26" s="8" t="n">
        <x:v>562.474</x:v>
      </x:c>
      <x:c r="E26" s="8" t="n">
        <x:v>570.699</x:v>
      </x:c>
      <x:c r="F26" s="8" t="n">
        <x:v>579.014</x:v>
      </x:c>
      <x:c r="G26" s="8" t="n">
        <x:v>587.423</x:v>
      </x:c>
      <x:c r="H26" s="8" t="n">
        <x:v>595.929</x:v>
      </x:c>
      <x:c r="I26" s="8" t="n">
        <x:v>604.534</x:v>
      </x:c>
      <x:c r="J26" s="8" t="n">
        <x:v>613.241</x:v>
      </x:c>
      <x:c r="K26" s="8" t="n">
        <x:v>622.052</x:v>
      </x:c>
      <x:c r="L26" s="8" t="n">
        <x:v>630.967</x:v>
      </x:c>
      <x:c r="M26" s="8" t="n">
        <x:v>639.989</x:v>
      </x:c>
      <x:c r="N26" s="8" t="n">
        <x:v>649.119</x:v>
      </x:c>
      <x:c r="O26" s="8" t="n">
        <x:v>658.357</x:v>
      </x:c>
      <x:c r="P26" s="8" t="n">
        <x:v>667.704</x:v>
      </x:c>
      <x:c r="Q26" s="8" t="n">
        <x:v>677.162</x:v>
      </x:c>
      <x:c r="R26" s="8" t="n">
        <x:v>686.731</x:v>
      </x:c>
      <x:c r="S26" s="8" t="n">
        <x:v>696.411</x:v>
      </x:c>
      <x:c r="T26" s="8" t="n">
        <x:v>706.203</x:v>
      </x:c>
      <x:c r="U26" s="8" t="n">
        <x:v>716.106</x:v>
      </x:c>
      <x:c r="V26" s="8" t="n">
        <x:v>726.122</x:v>
      </x:c>
      <x:c r="W26" s="8" t="n">
        <x:v>736.25</x:v>
      </x:c>
    </x:row>
    <x:row r="27" ht="21" customHeight="1">
      <x:c r="A27" s="8" t="n">
        <x:v>5</x:v>
      </x:c>
      <x:c r="B27" s="8" t="n">
        <x:v>1.867</x:v>
      </x:c>
      <x:c r="C27" s="8" t="n">
        <x:v>561.056</x:v>
      </x:c>
      <x:c r="D27" s="8" t="n">
        <x:v>569.355</x:v>
      </x:c>
      <x:c r="E27" s="8" t="n">
        <x:v>577.738</x:v>
      </x:c>
      <x:c r="F27" s="8" t="n">
        <x:v>586.209</x:v>
      </x:c>
      <x:c r="G27" s="8" t="n">
        <x:v>594.771</x:v>
      </x:c>
      <x:c r="H27" s="8" t="n">
        <x:v>603.429</x:v>
      </x:c>
      <x:c r="I27" s="8" t="n">
        <x:v>612.184</x:v>
      </x:c>
      <x:c r="J27" s="8" t="n">
        <x:v>621.039</x:v>
      </x:c>
      <x:c r="K27" s="8" t="n">
        <x:v>629.996</x:v>
      </x:c>
      <x:c r="L27" s="8" t="n">
        <x:v>639.056</x:v>
      </x:c>
      <x:c r="M27" s="8" t="n">
        <x:v>648.221</x:v>
      </x:c>
      <x:c r="N27" s="8" t="n">
        <x:v>657.493</x:v>
      </x:c>
      <x:c r="O27" s="8" t="n">
        <x:v>666.872</x:v>
      </x:c>
      <x:c r="P27" s="8" t="n">
        <x:v>676.359</x:v>
      </x:c>
      <x:c r="Q27" s="8" t="n">
        <x:v>685.955</x:v>
      </x:c>
      <x:c r="R27" s="8" t="n">
        <x:v>695.661</x:v>
      </x:c>
      <x:c r="S27" s="8" t="n">
        <x:v>705.478</x:v>
      </x:c>
      <x:c r="T27" s="8" t="n">
        <x:v>715.404</x:v>
      </x:c>
      <x:c r="U27" s="8" t="n">
        <x:v>725.442</x:v>
      </x:c>
      <x:c r="V27" s="8" t="n">
        <x:v>735.591</x:v>
      </x:c>
      <x:c r="W27" s="8" t="n">
        <x:v>745.85</x:v>
      </x:c>
    </x:row>
    <x:row r="28" ht="21" customHeight="1">
      <x:c r="A28" s="8" t="n">
        <x:v>10</x:v>
      </x:c>
      <x:c r="B28" s="8" t="n">
        <x:v>2.206</x:v>
      </x:c>
      <x:c r="C28" s="8" t="n">
        <x:v>567.778</x:v>
      </x:c>
      <x:c r="D28" s="8" t="n">
        <x:v>576.244</x:v>
      </x:c>
      <x:c r="E28" s="8" t="n">
        <x:v>584.791</x:v>
      </x:c>
      <x:c r="F28" s="8" t="n">
        <x:v>593.423</x:v>
      </x:c>
      <x:c r="G28" s="8" t="n">
        <x:v>602.143</x:v>
      </x:c>
      <x:c r="H28" s="8" t="n">
        <x:v>610.956</x:v>
      </x:c>
      <x:c r="I28" s="8" t="n">
        <x:v>619.864</x:v>
      </x:c>
      <x:c r="J28" s="8" t="n">
        <x:v>628.871</x:v>
      </x:c>
      <x:c r="K28" s="8" t="n">
        <x:v>637.977</x:v>
      </x:c>
      <x:c r="L28" s="8" t="n">
        <x:v>647.185</x:v>
      </x:c>
      <x:c r="M28" s="8" t="n">
        <x:v>656.496</x:v>
      </x:c>
      <x:c r="N28" s="8" t="n">
        <x:v>665.912</x:v>
      </x:c>
      <x:c r="O28" s="8" t="n">
        <x:v>675.434</x:v>
      </x:c>
      <x:c r="P28" s="8" t="n">
        <x:v>685.063</x:v>
      </x:c>
      <x:c r="Q28" s="8" t="n">
        <x:v>694.799</x:v>
      </x:c>
      <x:c r="R28" s="8" t="n">
        <x:v>704.644</x:v>
      </x:c>
      <x:c r="S28" s="8" t="n">
        <x:v>714.598</x:v>
      </x:c>
      <x:c r="T28" s="8" t="n">
        <x:v>724.661</x:v>
      </x:c>
      <x:c r="U28" s="8" t="n">
        <x:v>734.834</x:v>
      </x:c>
      <x:c r="V28" s="8" t="n">
        <x:v>745.117</x:v>
      </x:c>
      <x:c r="W28" s="8" t="n">
        <x:v>755.509</x:v>
      </x:c>
    </x:row>
    <x:row r="29" ht="21" customHeight="1">
      <x:c r="A29" s="8" t="n">
        <x:v>15</x:v>
      </x:c>
      <x:c r="B29" s="8" t="n">
        <x:v>2.59</x:v>
      </x:c>
      <x:c r="C29" s="8" t="n">
        <x:v>574.497</x:v>
      </x:c>
      <x:c r="D29" s="8" t="n">
        <x:v>583.137</x:v>
      </x:c>
      <x:c r="E29" s="8" t="n">
        <x:v>591.853</x:v>
      </x:c>
      <x:c r="F29" s="8" t="n">
        <x:v>600.65</x:v>
      </x:c>
      <x:c r="G29" s="8" t="n">
        <x:v>609.533</x:v>
      </x:c>
      <x:c r="H29" s="8" t="n">
        <x:v>618.506</x:v>
      </x:c>
      <x:c r="I29" s="8" t="n">
        <x:v>627.571</x:v>
      </x:c>
      <x:c r="J29" s="8" t="n">
        <x:v>636.732</x:v>
      </x:c>
      <x:c r="K29" s="8" t="n">
        <x:v>645.991</x:v>
      </x:c>
      <x:c r="L29" s="8" t="n">
        <x:v>655.349</x:v>
      </x:c>
      <x:c r="M29" s="8" t="n">
        <x:v>664.809</x:v>
      </x:c>
      <x:c r="N29" s="8" t="n">
        <x:v>674.371</x:v>
      </x:c>
      <x:c r="O29" s="8" t="n">
        <x:v>684.038</x:v>
      </x:c>
      <x:c r="P29" s="8" t="n">
        <x:v>693.811</x:v>
      </x:c>
      <x:c r="Q29" s="8" t="n">
        <x:v>703.689</x:v>
      </x:c>
      <x:c r="R29" s="8" t="n">
        <x:v>713.675</x:v>
      </x:c>
      <x:c r="S29" s="8" t="n">
        <x:v>723.768</x:v>
      </x:c>
      <x:c r="T29" s="8" t="n">
        <x:v>733.963</x:v>
      </x:c>
      <x:c r="U29" s="8" t="n">
        <x:v>744.279</x:v>
      </x:c>
      <x:c r="V29" s="8" t="n">
        <x:v>754.697</x:v>
      </x:c>
      <x:c r="W29" s="8" t="n">
        <x:v>765.223</x:v>
      </x:c>
    </x:row>
    <x:row r="30" ht="21" customHeight="1">
      <x:c r="A30" s="8" t="n">
        <x:v>20</x:v>
      </x:c>
      <x:c r="B30" s="8" t="n">
        <x:v>3.022</x:v>
      </x:c>
      <x:c r="C30" s="8" t="n">
        <x:v>581.207</x:v>
      </x:c>
      <x:c r="D30" s="8" t="n">
        <x:v>590.027</x:v>
      </x:c>
      <x:c r="E30" s="8" t="n">
        <x:v>598.918</x:v>
      </x:c>
      <x:c r="F30" s="8" t="n">
        <x:v>607.887</x:v>
      </x:c>
      <x:c r="G30" s="8" t="n">
        <x:v>616.937</x:v>
      </x:c>
      <x:c r="H30" s="8" t="n">
        <x:v>626.074</x:v>
      </x:c>
      <x:c r="I30" s="8" t="n">
        <x:v>635.3</x:v>
      </x:c>
      <x:c r="J30" s="8" t="n">
        <x:v>644.619</x:v>
      </x:c>
      <x:c r="K30" s="8" t="n">
        <x:v>654.033</x:v>
      </x:c>
      <x:c r="L30" s="8" t="n">
        <x:v>663.545</x:v>
      </x:c>
      <x:c r="M30" s="8" t="n">
        <x:v>673.156</x:v>
      </x:c>
      <x:c r="N30" s="8" t="n">
        <x:v>682.867</x:v>
      </x:c>
      <x:c r="O30" s="8" t="n">
        <x:v>692.682</x:v>
      </x:c>
      <x:c r="P30" s="8" t="n">
        <x:v>702.6</x:v>
      </x:c>
      <x:c r="Q30" s="8" t="n">
        <x:v>712.622</x:v>
      </x:c>
      <x:c r="R30" s="8" t="n">
        <x:v>722.75</x:v>
      </x:c>
      <x:c r="S30" s="8" t="n">
        <x:v>732.984</x:v>
      </x:c>
      <x:c r="T30" s="8" t="n">
        <x:v>743.325</x:v>
      </x:c>
      <x:c r="U30" s="8" t="n">
        <x:v>753.772</x:v>
      </x:c>
      <x:c r="V30" s="8" t="n">
        <x:v>764.326</x:v>
      </x:c>
      <x:c r="W30" s="8" t="n">
        <x:v>774.988</x:v>
      </x:c>
    </x:row>
    <x:row r="31" ht="21" customHeight="1">
      <x:c r="A31" s="8" t="n">
        <x:v>25</x:v>
      </x:c>
      <x:c r="B31" s="8" t="n">
        <x:v>3.507</x:v>
      </x:c>
      <x:c r="C31" s="8" t="n">
        <x:v>587.901</x:v>
      </x:c>
      <x:c r="D31" s="8" t="n">
        <x:v>596.908</x:v>
      </x:c>
      <x:c r="E31" s="8" t="n">
        <x:v>605.981</x:v>
      </x:c>
      <x:c r="F31" s="8" t="n">
        <x:v>615.126</x:v>
      </x:c>
      <x:c r="G31" s="8" t="n">
        <x:v>624.349</x:v>
      </x:c>
      <x:c r="H31" s="8" t="n">
        <x:v>633.654</x:v>
      </x:c>
      <x:c r="I31" s="8" t="n">
        <x:v>643.046</x:v>
      </x:c>
      <x:c r="J31" s="8" t="n">
        <x:v>652.527</x:v>
      </x:c>
      <x:c r="K31" s="8" t="n">
        <x:v>662.1</x:v>
      </x:c>
      <x:c r="L31" s="8" t="n">
        <x:v>671.767</x:v>
      </x:c>
      <x:c r="M31" s="8" t="n">
        <x:v>681.532</x:v>
      </x:c>
      <x:c r="N31" s="8" t="n">
        <x:v>691.396</x:v>
      </x:c>
      <x:c r="O31" s="8" t="n">
        <x:v>701.36</x:v>
      </x:c>
      <x:c r="P31" s="8" t="n">
        <x:v>711.426</x:v>
      </x:c>
      <x:c r="Q31" s="8" t="n">
        <x:v>721.595</x:v>
      </x:c>
      <x:c r="R31" s="8" t="n">
        <x:v>731.867</x:v>
      </x:c>
      <x:c r="S31" s="8" t="n">
        <x:v>742.244</x:v>
      </x:c>
      <x:c r="T31" s="8" t="n">
        <x:v>752.725</x:v>
      </x:c>
      <x:c r="U31" s="8" t="n">
        <x:v>763.311</x:v>
      </x:c>
      <x:c r="V31" s="8" t="n">
        <x:v>774.003</x:v>
      </x:c>
      <x:c r="W31" s="8" t="n">
        <x:v>784.8</x:v>
      </x:c>
    </x:row>
    <x:row r="32" ht="21" customHeight="1">
      <x:c r="A32" s="8" t="n">
        <x:v>30</x:v>
      </x:c>
      <x:c r="B32" s="8" t="n">
        <x:v>4.047</x:v>
      </x:c>
      <x:c r="C32" s="8" t="n">
        <x:v>594.57</x:v>
      </x:c>
      <x:c r="D32" s="8" t="n">
        <x:v>603.773</x:v>
      </x:c>
      <x:c r="E32" s="8" t="n">
        <x:v>613.035</x:v>
      </x:c>
      <x:c r="F32" s="8" t="n">
        <x:v>622.363</x:v>
      </x:c>
      <x:c r="G32" s="8" t="n">
        <x:v>631.764</x:v>
      </x:c>
      <x:c r="H32" s="8" t="n">
        <x:v>641.243</x:v>
      </x:c>
      <x:c r="I32" s="8" t="n">
        <x:v>650.803</x:v>
      </x:c>
      <x:c r="J32" s="8" t="n">
        <x:v>660.45</x:v>
      </x:c>
      <x:c r="K32" s="8" t="n">
        <x:v>670.185</x:v>
      </x:c>
      <x:c r="L32" s="8" t="n">
        <x:v>680.012</x:v>
      </x:c>
      <x:c r="M32" s="8" t="n">
        <x:v>689.934</x:v>
      </x:c>
      <x:c r="N32" s="8" t="n">
        <x:v>699.952</x:v>
      </x:c>
      <x:c r="O32" s="8" t="n">
        <x:v>710.069</x:v>
      </x:c>
      <x:c r="P32" s="8" t="n">
        <x:v>720.285</x:v>
      </x:c>
      <x:c r="Q32" s="8" t="n">
        <x:v>730.602</x:v>
      </x:c>
      <x:c r="R32" s="8" t="n">
        <x:v>741.021</x:v>
      </x:c>
      <x:c r="S32" s="8" t="n">
        <x:v>751.542</x:v>
      </x:c>
      <x:c r="T32" s="8" t="n">
        <x:v>762.165</x:v>
      </x:c>
      <x:c r="U32" s="8" t="n">
        <x:v>772.892</x:v>
      </x:c>
      <x:c r="V32" s="8" t="n">
        <x:v>783.723</x:v>
      </x:c>
      <x:c r="W32" s="8" t="n">
        <x:v>794.657</x:v>
      </x:c>
    </x:row>
    <x:row r="33" ht="21" customHeight="1">
      <x:c r="A33" s="8" t="n">
        <x:v>35</x:v>
      </x:c>
      <x:c r="B33" s="8" t="n">
        <x:v>4.648</x:v>
      </x:c>
      <x:c r="C33" s="8" t="n">
        <x:v>601.207</x:v>
      </x:c>
      <x:c r="D33" s="8" t="n">
        <x:v>610.614</x:v>
      </x:c>
      <x:c r="E33" s="8" t="n">
        <x:v>620.073</x:v>
      </x:c>
      <x:c r="F33" s="8" t="n">
        <x:v>629.591</x:v>
      </x:c>
      <x:c r="G33" s="8" t="n">
        <x:v>639.176</x:v>
      </x:c>
      <x:c r="H33" s="8" t="n">
        <x:v>648.833</x:v>
      </x:c>
      <x:c r="I33" s="8" t="n">
        <x:v>658.567</x:v>
      </x:c>
      <x:c r="J33" s="8" t="n">
        <x:v>668.383</x:v>
      </x:c>
      <x:c r="K33" s="8" t="n">
        <x:v>678.285</x:v>
      </x:c>
      <x:c r="L33" s="8" t="n">
        <x:v>688.276</x:v>
      </x:c>
      <x:c r="M33" s="8" t="n">
        <x:v>698.358</x:v>
      </x:c>
      <x:c r="N33" s="8" t="n">
        <x:v>708.534</x:v>
      </x:c>
      <x:c r="O33" s="8" t="n">
        <x:v>718.805</x:v>
      </x:c>
      <x:c r="P33" s="8" t="n">
        <x:v>729.174</x:v>
      </x:c>
      <x:c r="Q33" s="8" t="n">
        <x:v>739.642</x:v>
      </x:c>
      <x:c r="R33" s="8" t="n">
        <x:v>750.209</x:v>
      </x:c>
      <x:c r="S33" s="8" t="n">
        <x:v>760.875</x:v>
      </x:c>
      <x:c r="T33" s="8" t="n">
        <x:v>771.643</x:v>
      </x:c>
      <x:c r="U33" s="8" t="n">
        <x:v>782.512</x:v>
      </x:c>
      <x:c r="V33" s="8" t="n">
        <x:v>793.482</x:v>
      </x:c>
      <x:c r="W33" s="8" t="n">
        <x:v>804.554</x:v>
      </x:c>
    </x:row>
    <x:row r="34" ht="21" customHeight="1">
      <x:c r="A34" s="8" t="n">
        <x:v>40</x:v>
      </x:c>
      <x:c r="B34" s="8" t="n">
        <x:v>5.312</x:v>
      </x:c>
      <x:c r="C34" s="8" t="n">
        <x:v>607.802</x:v>
      </x:c>
      <x:c r="D34" s="8" t="n">
        <x:v>617.424</x:v>
      </x:c>
      <x:c r="E34" s="8" t="n">
        <x:v>627.088</x:v>
      </x:c>
      <x:c r="F34" s="8" t="n">
        <x:v>636.803</x:v>
      </x:c>
      <x:c r="G34" s="8" t="n">
        <x:v>646.578</x:v>
      </x:c>
      <x:c r="H34" s="8" t="n">
        <x:v>656.419</x:v>
      </x:c>
      <x:c r="I34" s="8" t="n">
        <x:v>666.332</x:v>
      </x:c>
      <x:c r="J34" s="8" t="n">
        <x:v>676.322</x:v>
      </x:c>
      <x:c r="K34" s="8" t="n">
        <x:v>686.395</x:v>
      </x:c>
      <x:c r="L34" s="8" t="n">
        <x:v>696.552</x:v>
      </x:c>
      <x:c r="M34" s="8" t="n">
        <x:v>706.798</x:v>
      </x:c>
      <x:c r="N34" s="8" t="n">
        <x:v>717.135</x:v>
      </x:c>
      <x:c r="O34" s="8" t="n">
        <x:v>727.565</x:v>
      </x:c>
      <x:c r="P34" s="8" t="n">
        <x:v>738.089</x:v>
      </x:c>
      <x:c r="Q34" s="8" t="n">
        <x:v>748.709</x:v>
      </x:c>
      <x:c r="R34" s="8" t="n">
        <x:v>759.426</x:v>
      </x:c>
      <x:c r="S34" s="8" t="n">
        <x:v>770.24</x:v>
      </x:c>
      <x:c r="T34" s="8" t="n">
        <x:v>781.153</x:v>
      </x:c>
      <x:c r="U34" s="8" t="n">
        <x:v>792.168</x:v>
      </x:c>
      <x:c r="V34" s="8" t="n">
        <x:v>803.277</x:v>
      </x:c>
      <x:c r="W34" s="8" t="n">
        <x:v>814.458</x:v>
      </x:c>
    </x:row>
    <x:row r="35" ht="21" customHeight="1">
      <x:c r="A35" s="8" t="n">
        <x:v>45</x:v>
      </x:c>
      <x:c r="B35" s="8" t="n">
        <x:v>6.044</x:v>
      </x:c>
      <x:c r="C35" s="8" t="n">
        <x:v>614.344</x:v>
      </x:c>
      <x:c r="D35" s="8" t="n">
        <x:v>624.192</x:v>
      </x:c>
      <x:c r="E35" s="8" t="n">
        <x:v>634.071</x:v>
      </x:c>
      <x:c r="F35" s="8" t="n">
        <x:v>643.991</x:v>
      </x:c>
      <x:c r="G35" s="8" t="n">
        <x:v>653.963</x:v>
      </x:c>
      <x:c r="H35" s="8" t="n">
        <x:v>663.994</x:v>
      </x:c>
      <x:c r="I35" s="8" t="n">
        <x:v>674.091</x:v>
      </x:c>
      <x:c r="J35" s="8" t="n">
        <x:v>684.261</x:v>
      </x:c>
      <x:c r="K35" s="8" t="n">
        <x:v>694.509</x:v>
      </x:c>
      <x:c r="L35" s="8" t="n">
        <x:v>704.838</x:v>
      </x:c>
      <x:c r="M35" s="8" t="n">
        <x:v>715.251</x:v>
      </x:c>
      <x:c r="N35" s="8" t="n">
        <x:v>725.753</x:v>
      </x:c>
      <x:c r="O35" s="8" t="n">
        <x:v>736.343</x:v>
      </x:c>
      <x:c r="P35" s="8" t="n">
        <x:v>747.025</x:v>
      </x:c>
      <x:c r="Q35" s="8" t="n">
        <x:v>757.8</x:v>
      </x:c>
      <x:c r="R35" s="8" t="n">
        <x:v>768.669</x:v>
      </x:c>
      <x:c r="S35" s="8" t="n">
        <x:v>779.633</x:v>
      </x:c>
      <x:c r="T35" s="8" t="n">
        <x:v>790.694</x:v>
      </x:c>
      <x:c r="U35" s="8" t="n">
        <x:v>801.851</x:v>
      </x:c>
      <x:c r="V35" s="8" t="n">
        <x:v>813.106</x:v>
      </x:c>
      <x:c r="W35" s="8" t="n">
        <x:v>824.458</x:v>
      </x:c>
    </x:row>
    <x:row r="36" ht="21" customHeight="1">
      <x:c r="A36" s="8" t="n">
        <x:v>50</x:v>
      </x:c>
      <x:c r="B36" s="8" t="n">
        <x:v>6.849</x:v>
      </x:c>
      <x:c r="C36" s="8" t="n">
        <x:v>620.823</x:v>
      </x:c>
      <x:c r="D36" s="8" t="n">
        <x:v>630.909</x:v>
      </x:c>
      <x:c r="E36" s="8" t="n">
        <x:v>641.013</x:v>
      </x:c>
      <x:c r="F36" s="8" t="n">
        <x:v>651.147</x:v>
      </x:c>
      <x:c r="G36" s="8" t="n">
        <x:v>661.323</x:v>
      </x:c>
      <x:c r="H36" s="8" t="n">
        <x:v>671.551</x:v>
      </x:c>
      <x:c r="I36" s="8" t="n">
        <x:v>681.839</x:v>
      </x:c>
      <x:c r="J36" s="8" t="n">
        <x:v>692.194</x:v>
      </x:c>
      <x:c r="K36" s="8" t="n">
        <x:v>702.622</x:v>
      </x:c>
      <x:c r="L36" s="8" t="n">
        <x:v>713.127</x:v>
      </x:c>
      <x:c r="M36" s="8" t="n">
        <x:v>723.713</x:v>
      </x:c>
      <x:c r="N36" s="8" t="n">
        <x:v>734.382</x:v>
      </x:c>
      <x:c r="O36" s="8" t="n">
        <x:v>745.136</x:v>
      </x:c>
      <x:c r="P36" s="8" t="n">
        <x:v>755.979</x:v>
      </x:c>
      <x:c r="Q36" s="8" t="n">
        <x:v>766.911</x:v>
      </x:c>
      <x:c r="R36" s="8" t="n">
        <x:v>777.934</x:v>
      </x:c>
      <x:c r="S36" s="8" t="n">
        <x:v>789.05</x:v>
      </x:c>
      <x:c r="T36" s="8" t="n">
        <x:v>800.26</x:v>
      </x:c>
      <x:c r="U36" s="8" t="n">
        <x:v>811.564</x:v>
      </x:c>
      <x:c r="V36" s="8" t="n">
        <x:v>822.963</x:v>
      </x:c>
      <x:c r="W36" s="8" t="n">
        <x:v>834.458</x:v>
      </x:c>
    </x:row>
    <x:row r="37" ht="21" customHeight="1">
      <x:c r="A37" s="8" t="n">
        <x:v>55</x:v>
      </x:c>
      <x:c r="B37" s="8" t="n">
        <x:v>7.73</x:v>
      </x:c>
      <x:c r="C37" s="8" t="n">
        <x:v>627.223</x:v>
      </x:c>
      <x:c r="D37" s="8" t="n">
        <x:v>637.562</x:v>
      </x:c>
      <x:c r="E37" s="8" t="n">
        <x:v>647.902</x:v>
      </x:c>
      <x:c r="F37" s="8" t="n">
        <x:v>658.26</x:v>
      </x:c>
      <x:c r="G37" s="8" t="n">
        <x:v>668.649</x:v>
      </x:c>
      <x:c r="H37" s="8" t="n">
        <x:v>679.082</x:v>
      </x:c>
      <x:c r="I37" s="8" t="n">
        <x:v>689.569</x:v>
      </x:c>
      <x:c r="J37" s="8" t="n">
        <x:v>700.116</x:v>
      </x:c>
      <x:c r="K37" s="8" t="n">
        <x:v>710.73</x:v>
      </x:c>
      <x:c r="L37" s="8" t="n">
        <x:v>721.416</x:v>
      </x:c>
      <x:c r="M37" s="8" t="n">
        <x:v>732.178</x:v>
      </x:c>
      <x:c r="N37" s="8" t="n">
        <x:v>743.018</x:v>
      </x:c>
      <x:c r="O37" s="8" t="n">
        <x:v>753.939</x:v>
      </x:c>
      <x:c r="P37" s="8" t="n">
        <x:v>764.945</x:v>
      </x:c>
      <x:c r="Q37" s="8" t="n">
        <x:v>776.038</x:v>
      </x:c>
      <x:c r="R37" s="8" t="n">
        <x:v>787.218</x:v>
      </x:c>
      <x:c r="S37" s="8" t="n">
        <x:v>798.487</x:v>
      </x:c>
      <x:c r="T37" s="8" t="n">
        <x:v>809.848</x:v>
      </x:c>
      <x:c r="U37" s="8" t="n">
        <x:v>821.301</x:v>
      </x:c>
      <x:c r="V37" s="8" t="n">
        <x:v>832.846</x:v>
      </x:c>
      <x:c r="W37" s="8" t="n">
        <x:v>844.485</x:v>
      </x:c>
    </x:row>
    <x:row r="38" ht="21" customHeight="1">
      <x:c r="A38" s="8" t="n">
        <x:v>60</x:v>
      </x:c>
      <x:c r="B38" s="8" t="n">
        <x:v>8.692</x:v>
      </x:c>
      <x:c r="C38" s="8" t="n">
        <x:v>633.528</x:v>
      </x:c>
      <x:c r="D38" s="8" t="n">
        <x:v>644.137</x:v>
      </x:c>
      <x:c r="E38" s="8" t="n">
        <x:v>654.727</x:v>
      </x:c>
      <x:c r="F38" s="8" t="n">
        <x:v>665.32</x:v>
      </x:c>
      <x:c r="G38" s="8" t="n">
        <x:v>675.933</x:v>
      </x:c>
      <x:c r="H38" s="8" t="n">
        <x:v>686.581</x:v>
      </x:c>
      <x:c r="I38" s="8" t="n">
        <x:v>697.274</x:v>
      </x:c>
      <x:c r="J38" s="8" t="n">
        <x:v>708.021</x:v>
      </x:c>
      <x:c r="K38" s="8" t="n">
        <x:v>718.827</x:v>
      </x:c>
      <x:c r="L38" s="8" t="n">
        <x:v>729.699</x:v>
      </x:c>
      <x:c r="M38" s="8" t="n">
        <x:v>740.64</x:v>
      </x:c>
      <x:c r="N38" s="8" t="n">
        <x:v>751.656</x:v>
      </x:c>
      <x:c r="O38" s="8" t="n">
        <x:v>762.748</x:v>
      </x:c>
      <x:c r="P38" s="8" t="n">
        <x:v>773.921</x:v>
      </x:c>
      <x:c r="Q38" s="8" t="n">
        <x:v>785.176</x:v>
      </x:c>
      <x:c r="R38" s="8" t="n">
        <x:v>796.515</x:v>
      </x:c>
      <x:c r="S38" s="8" t="n">
        <x:v>807.941</x:v>
      </x:c>
      <x:c r="T38" s="8" t="n">
        <x:v>819.455</x:v>
      </x:c>
      <x:c r="U38" s="8" t="n">
        <x:v>831.059</x:v>
      </x:c>
      <x:c r="V38" s="8" t="n">
        <x:v>842.752</x:v>
      </x:c>
      <x:c r="W38" s="8" t="n">
        <x:v>854.536</x:v>
      </x:c>
    </x:row>
    <x:row r="39" ht="21" customHeight="1">
      <x:c r="A39" s="8" t="n">
        <x:v>65</x:v>
      </x:c>
      <x:c r="B39" s="8" t="n">
        <x:v>9.739</x:v>
      </x:c>
      <x:c r="C39" s="8" t="n">
        <x:v>639.718</x:v>
      </x:c>
      <x:c r="D39" s="8" t="n">
        <x:v>650.615</x:v>
      </x:c>
      <x:c r="E39" s="8" t="n">
        <x:v>661.472</x:v>
      </x:c>
      <x:c r="F39" s="8" t="n">
        <x:v>672.316</x:v>
      </x:c>
      <x:c r="G39" s="8" t="n">
        <x:v>683.166</x:v>
      </x:c>
      <x:c r="H39" s="8" t="n">
        <x:v>694.04</x:v>
      </x:c>
      <x:c r="I39" s="8" t="n">
        <x:v>704.949</x:v>
      </x:c>
      <x:c r="J39" s="8" t="n">
        <x:v>715.902</x:v>
      </x:c>
      <x:c r="K39" s="8" t="n">
        <x:v>726.907</x:v>
      </x:c>
      <x:c r="L39" s="8" t="n">
        <x:v>737.97</x:v>
      </x:c>
      <x:c r="M39" s="8" t="n">
        <x:v>749.096</x:v>
      </x:c>
      <x:c r="N39" s="8" t="n">
        <x:v>760.291</x:v>
      </x:c>
      <x:c r="O39" s="8" t="n">
        <x:v>771.558</x:v>
      </x:c>
      <x:c r="P39" s="8" t="n">
        <x:v>782.9</x:v>
      </x:c>
      <x:c r="Q39" s="8" t="n">
        <x:v>794.321</x:v>
      </x:c>
      <x:c r="R39" s="8" t="n">
        <x:v>805.823</x:v>
      </x:c>
      <x:c r="S39" s="8" t="n">
        <x:v>817.408</x:v>
      </x:c>
      <x:c r="T39" s="8" t="n">
        <x:v>829.077</x:v>
      </x:c>
      <x:c r="U39" s="8" t="n">
        <x:v>840.533</x:v>
      </x:c>
      <x:c r="V39" s="8" t="n">
        <x:v>852.676</x:v>
      </x:c>
      <x:c r="W39" s="8" t="n">
        <x:v>864.608</x:v>
      </x:c>
    </x:row>
    <x:row r="40" ht="21" customHeight="1">
      <x:c r="A40" s="8" t="n">
        <x:v>70</x:v>
      </x:c>
      <x:c r="B40" s="8" t="n">
        <x:v>10.875</x:v>
      </x:c>
      <x:c r="C40" s="8" t="n">
        <x:v>645.766</x:v>
      </x:c>
      <x:c r="D40" s="8" t="n">
        <x:v>656.978</x:v>
      </x:c>
      <x:c r="E40" s="8" t="n">
        <x:v>668.124</x:v>
      </x:c>
      <x:c r="F40" s="8" t="n">
        <x:v>679.236</x:v>
      </x:c>
      <x:c r="G40" s="8" t="n">
        <x:v>690.338</x:v>
      </x:c>
      <x:c r="H40" s="8" t="n">
        <x:v>701.45</x:v>
      </x:c>
      <x:c r="I40" s="8" t="n">
        <x:v>712.584</x:v>
      </x:c>
      <x:c r="J40" s="8" t="n">
        <x:v>723.752</x:v>
      </x:c>
      <x:c r="K40" s="8" t="n">
        <x:v>734.962</x:v>
      </x:c>
      <x:c r="L40" s="8" t="n">
        <x:v>746.223</x:v>
      </x:c>
      <x:c r="M40" s="8" t="n">
        <x:v>757.539</x:v>
      </x:c>
      <x:c r="N40" s="8" t="n">
        <x:v>768.918</x:v>
      </x:c>
      <x:c r="O40" s="8" t="n">
        <x:v>780.363</x:v>
      </x:c>
      <x:c r="P40" s="8" t="n">
        <x:v>791.879</x:v>
      </x:c>
      <x:c r="Q40" s="8" t="n">
        <x:v>803.469</x:v>
      </x:c>
      <x:c r="R40" s="8" t="n">
        <x:v>815.136</x:v>
      </x:c>
      <x:c r="S40" s="8" t="n">
        <x:v>826.883</x:v>
      </x:c>
      <x:c r="T40" s="8" t="n">
        <x:v>838.711</x:v>
      </x:c>
      <x:c r="U40" s="8" t="n">
        <x:v>850.621</x:v>
      </x:c>
      <x:c r="V40" s="8" t="n">
        <x:v>862.616</x:v>
      </x:c>
      <x:c r="W40" s="8" t="n">
        <x:v>874.697</x:v>
      </x:c>
    </x:row>
    <x:row r="41" ht="21" customHeight="1">
      <x:c r="A41" s="8" t="n">
        <x:v>75</x:v>
      </x:c>
      <x:c r="B41" s="8" t="n">
        <x:v>12.107</x:v>
      </x:c>
      <x:c r="C41" s="8" t="n">
        <x:v>651.643</x:v>
      </x:c>
      <x:c r="D41" s="8" t="n">
        <x:v>663.204</x:v>
      </x:c>
      <x:c r="E41" s="8" t="n">
        <x:v>674.665</x:v>
      </x:c>
      <x:c r="F41" s="8" t="n">
        <x:v>686.067</x:v>
      </x:c>
      <x:c r="G41" s="8" t="n">
        <x:v>697.439</x:v>
      </x:c>
      <x:c r="H41" s="8" t="n">
        <x:v>708.802</x:v>
      </x:c>
      <x:c r="I41" s="8" t="n">
        <x:v>720.173</x:v>
      </x:c>
      <x:c r="J41" s="8" t="n">
        <x:v>731.564</x:v>
      </x:c>
      <x:c r="K41" s="8" t="n">
        <x:v>742.987</x:v>
      </x:c>
      <x:c r="L41" s="8" t="n">
        <x:v>754.451</x:v>
      </x:c>
      <x:c r="M41" s="8" t="n">
        <x:v>765.964</x:v>
      </x:c>
      <x:c r="N41" s="8" t="n">
        <x:v>777.531</x:v>
      </x:c>
      <x:c r="O41" s="8" t="n">
        <x:v>789.159</x:v>
      </x:c>
      <x:c r="P41" s="8" t="n">
        <x:v>800.853</x:v>
      </x:c>
      <x:c r="Q41" s="8" t="n">
        <x:v>812.616</x:v>
      </x:c>
      <x:c r="R41" s="8" t="n">
        <x:v>824.452</x:v>
      </x:c>
      <x:c r="S41" s="8" t="n">
        <x:v>836.363</x:v>
      </x:c>
      <x:c r="T41" s="8" t="n">
        <x:v>848.351</x:v>
      </x:c>
      <x:c r="U41" s="8" t="n">
        <x:v>860.419</x:v>
      </x:c>
      <x:c r="V41" s="8" t="n">
        <x:v>872.568</x:v>
      </x:c>
      <x:c r="W41" s="8" t="n">
        <x:v>884.8</x:v>
      </x:c>
    </x:row>
    <x:row r="42" ht="21" customHeight="1">
      <x:c r="A42" s="8" t="n">
        <x:v>80</x:v>
      </x:c>
      <x:c r="B42" s="8" t="n">
        <x:v>13.438</x:v>
      </x:c>
      <x:c r="C42" s="8" t="n">
        <x:v>657.313</x:v>
      </x:c>
      <x:c r="D42" s="8" t="n">
        <x:v>669.267</x:v>
      </x:c>
      <x:c r="E42" s="8" t="n">
        <x:v>681.077</x:v>
      </x:c>
      <x:c r="F42" s="8" t="n">
        <x:v>692.796</x:v>
      </x:c>
      <x:c r="G42" s="8" t="n">
        <x:v>704.457</x:v>
      </x:c>
      <x:c r="H42" s="8" t="n">
        <x:v>716.087</x:v>
      </x:c>
      <x:c r="I42" s="8" t="n">
        <x:v>727.106</x:v>
      </x:c>
      <x:c r="J42" s="8" t="n">
        <x:v>739.33</x:v>
      </x:c>
      <x:c r="K42" s="8" t="n">
        <x:v>750.974</x:v>
      </x:c>
      <x:c r="L42" s="8" t="n">
        <x:v>762.649</x:v>
      </x:c>
      <x:c r="M42" s="8" t="n">
        <x:v>774.363</x:v>
      </x:c>
      <x:c r="N42" s="8" t="n">
        <x:v>786.125</x:v>
      </x:c>
      <x:c r="O42" s="8" t="n">
        <x:v>797.942</x:v>
      </x:c>
      <x:c r="P42" s="8" t="n">
        <x:v>809.818</x:v>
      </x:c>
      <x:c r="Q42" s="8" t="n">
        <x:v>821.758</x:v>
      </x:c>
      <x:c r="R42" s="8" t="n">
        <x:v>833.765</x:v>
      </x:c>
      <x:c r="S42" s="8" t="n">
        <x:v>845.844</x:v>
      </x:c>
      <x:c r="T42" s="8" t="n">
        <x:v>857.996</x:v>
      </x:c>
      <x:c r="U42" s="8" t="n">
        <x:v>870.223</x:v>
      </x:c>
      <x:c r="V42" s="8" t="n">
        <x:v>882.529</x:v>
      </x:c>
      <x:c r="W42" s="8" t="n">
        <x:v>894.913</x:v>
      </x:c>
    </x:row>
    <x:row r="43" ht="21" customHeight="1">
      <x:c r="A43" s="8" t="n">
        <x:v>85</x:v>
      </x:c>
      <x:c r="B43" s="8" t="n">
        <x:v>14.874</x:v>
      </x:c>
      <x:c r="C43" s="8" t="n">
        <x:v>662.735</x:v>
      </x:c>
      <x:c r="D43" s="8" t="n">
        <x:v>675.141</x:v>
      </x:c>
      <x:c r="E43" s="8" t="n">
        <x:v>687.343</x:v>
      </x:c>
      <x:c r="F43" s="8" t="n">
        <x:v>699.407</x:v>
      </x:c>
      <x:c r="G43" s="8" t="n">
        <x:v>711.379</x:v>
      </x:c>
      <x:c r="H43" s="8" t="n">
        <x:v>723.292</x:v>
      </x:c>
      <x:c r="I43" s="8" t="n">
        <x:v>735.173</x:v>
      </x:c>
      <x:c r="J43" s="8" t="n">
        <x:v>747.042</x:v>
      </x:c>
      <x:c r="K43" s="8" t="n">
        <x:v>758.916</x:v>
      </x:c>
      <x:c r="L43" s="8" t="n">
        <x:v>770.809</x:v>
      </x:c>
      <x:c r="M43" s="8" t="n">
        <x:v>782.732</x:v>
      </x:c>
      <x:c r="N43" s="8" t="n">
        <x:v>794.695</x:v>
      </x:c>
      <x:c r="O43" s="8" t="n">
        <x:v>806.705</x:v>
      </x:c>
      <x:c r="P43" s="8" t="n">
        <x:v>818.767</x:v>
      </x:c>
      <x:c r="Q43" s="8" t="n">
        <x:v>830.888</x:v>
      </x:c>
      <x:c r="R43" s="8" t="n">
        <x:v>843.072</x:v>
      </x:c>
      <x:c r="S43" s="8" t="n">
        <x:v>855.321</x:v>
      </x:c>
      <x:c r="T43" s="8" t="n">
        <x:v>867.64</x:v>
      </x:c>
      <x:c r="U43" s="8" t="n">
        <x:v>880.03</x:v>
      </x:c>
      <x:c r="V43" s="8" t="n">
        <x:v>892.494</x:v>
      </x:c>
      <x:c r="W43" s="8" t="n">
        <x:v>905.034</x:v>
      </x:c>
    </x:row>
    <x:row r="44" ht="21" customHeight="1">
      <x:c r="A44" s="8" t="n">
        <x:v>90</x:v>
      </x:c>
      <x:c r="B44" s="8" t="n">
        <x:v>16.42</x:v>
      </x:c>
      <x:c r="C44" s="8" t="n">
        <x:v>667.857</x:v>
      </x:c>
      <x:c r="D44" s="8" t="n">
        <x:v>680.793</x:v>
      </x:c>
      <x:c r="E44" s="8" t="n">
        <x:v>693.438</x:v>
      </x:c>
      <x:c r="F44" s="8" t="n">
        <x:v>705.883</x:v>
      </x:c>
      <x:c r="G44" s="8" t="n">
        <x:v>718.191</x:v>
      </x:c>
      <x:c r="H44" s="8" t="n">
        <x:v>730.406</x:v>
      </x:c>
      <x:c r="I44" s="8" t="n">
        <x:v>742.563</x:v>
      </x:c>
      <x:c r="J44" s="8" t="n">
        <x:v>754.689</x:v>
      </x:c>
      <x:c r="K44" s="8" t="n">
        <x:v>766.803</x:v>
      </x:c>
      <x:c r="L44" s="8" t="n">
        <x:v>778.924</x:v>
      </x:c>
      <x:c r="M44" s="8" t="n">
        <x:v>791.064</x:v>
      </x:c>
      <x:c r="N44" s="8" t="n">
        <x:v>803.234</x:v>
      </x:c>
      <x:c r="O44" s="8" t="n">
        <x:v>815.443</x:v>
      </x:c>
      <x:c r="P44" s="8" t="n">
        <x:v>827.698</x:v>
      </x:c>
      <x:c r="Q44" s="8" t="n">
        <x:v>840.004</x:v>
      </x:c>
      <x:c r="R44" s="8" t="n">
        <x:v>852.367</x:v>
      </x:c>
      <x:c r="S44" s="8" t="n">
        <x:v>864.791</x:v>
      </x:c>
      <x:c r="T44" s="8" t="n">
        <x:v>877.28</x:v>
      </x:c>
      <x:c r="U44" s="8" t="n">
        <x:v>889.835</x:v>
      </x:c>
      <x:c r="V44" s="8" t="n">
        <x:v>902.461</x:v>
      </x:c>
      <x:c r="W44" s="8" t="n">
        <x:v>915.158</x:v>
      </x:c>
    </x:row>
    <x:row r="45" ht="21" customHeight="1">
      <x:c r="A45" s="8" t="n">
        <x:v>95</x:v>
      </x:c>
      <x:c r="B45" s="8" t="n">
        <x:v>18.081</x:v>
      </x:c>
      <x:c r="C45" s="8" t="n">
        <x:v>672.618</x:v>
      </x:c>
      <x:c r="D45" s="8" t="n">
        <x:v>680.188</x:v>
      </x:c>
      <x:c r="E45" s="8" t="n">
        <x:v>699.438</x:v>
      </x:c>
      <x:c r="F45" s="8" t="n">
        <x:v>712.204</x:v>
      </x:c>
      <x:c r="G45" s="8" t="n">
        <x:v>724.816</x:v>
      </x:c>
      <x:c r="H45" s="8" t="n">
        <x:v>737.415</x:v>
      </x:c>
      <x:c r="I45" s="8" t="n">
        <x:v>749.866</x:v>
      </x:c>
      <x:c r="J45" s="8" t="n">
        <x:v>762.262</x:v>
      </x:c>
      <x:c r="K45" s="8" t="n">
        <x:v>774.629</x:v>
      </x:c>
      <x:c r="L45" s="8" t="n">
        <x:v>786.987</x:v>
      </x:c>
      <x:c r="M45" s="8" t="n">
        <x:v>799.352</x:v>
      </x:c>
      <x:c r="N45" s="8" t="n">
        <x:v>811.737</x:v>
      </x:c>
      <x:c r="O45" s="8" t="n">
        <x:v>824.151</x:v>
      </x:c>
      <x:c r="P45" s="8" t="n">
        <x:v>836.604</x:v>
      </x:c>
      <x:c r="Q45" s="8" t="n">
        <x:v>849.101</x:v>
      </x:c>
      <x:c r="R45" s="8" t="n">
        <x:v>861.648</x:v>
      </x:c>
      <x:c r="S45" s="8" t="n">
        <x:v>874.25</x:v>
      </x:c>
      <x:c r="T45" s="8" t="n">
        <x:v>886.912</x:v>
      </x:c>
      <x:c r="U45" s="8" t="n">
        <x:v>899.636</x:v>
      </x:c>
      <x:c r="V45" s="8" t="n">
        <x:v>912.425</x:v>
      </x:c>
      <x:c r="W45" s="8" t="n">
        <x:v>925.283</x:v>
      </x:c>
    </x:row>
    <x:row r="46" ht="21" customHeight="1">
      <x:c r="A46" s="8" t="n">
        <x:v>100</x:v>
      </x:c>
      <x:c r="B46" s="8" t="n">
        <x:v>19.865</x:v>
      </x:c>
      <x:c r="C46" s="8" t="n">
        <x:v>676.937</x:v>
      </x:c>
      <x:c r="D46" s="8" t="n">
        <x:v>691.277</x:v>
      </x:c>
      <x:c r="E46" s="8" t="n">
        <x:v>705.01</x:v>
      </x:c>
      <x:c r="F46" s="8" t="n">
        <x:v>718.347</x:v>
      </x:c>
      <x:c r="G46" s="8" t="n">
        <x:v>731.417</x:v>
      </x:c>
      <x:c r="H46" s="8" t="n">
        <x:v>744.305</x:v>
      </x:c>
      <x:c r="I46" s="8" t="n">
        <x:v>757.068</x:v>
      </x:c>
      <x:c r="J46" s="8" t="n">
        <x:v>769.751</x:v>
      </x:c>
      <x:c r="K46" s="8" t="n">
        <x:v>782.383</x:v>
      </x:c>
      <x:c r="L46" s="8" t="n">
        <x:v>794.99</x:v>
      </x:c>
      <x:c r="M46" s="8" t="n">
        <x:v>807.59</x:v>
      </x:c>
      <x:c r="N46" s="8" t="n">
        <x:v>820.197</x:v>
      </x:c>
      <x:c r="O46" s="8" t="n">
        <x:v>832.824</x:v>
      </x:c>
      <x:c r="P46" s="8" t="n">
        <x:v>845.48</x:v>
      </x:c>
      <x:c r="Q46" s="8" t="n">
        <x:v>858.172</x:v>
      </x:c>
      <x:c r="R46" s="8" t="n">
        <x:v>870.908</x:v>
      </x:c>
      <x:c r="S46" s="8" t="n">
        <x:v>883.693</x:v>
      </x:c>
      <x:c r="T46" s="8" t="n">
        <x:v>896.532</x:v>
      </x:c>
      <x:c r="U46" s="8" t="n">
        <x:v>909.428</x:v>
      </x:c>
      <x:c r="V46" s="8" t="n">
        <x:v>922.384</x:v>
      </x:c>
      <x:c r="W46" s="8" t="n">
        <x:v>935.405</x:v>
      </x:c>
    </x:row>
    <x:row r="47" ht="21" customHeight="1">
      <x:c r="A47" s="8" t="n">
        <x:v>105</x:v>
      </x:c>
      <x:c r="B47" s="8" t="n">
        <x:v>21.778</x:v>
      </x:c>
      <x:c r="C47" s="8" t="n">
        <x:v>680.699</x:v>
      </x:c>
      <x:c r="D47" s="8" t="n">
        <x:v>696.004</x:v>
      </x:c>
      <x:c r="E47" s="8" t="n">
        <x:v>710.418</x:v>
      </x:c>
      <x:c r="F47" s="8" t="n">
        <x:v>724.285</x:v>
      </x:c>
      <x:c r="G47" s="8" t="n">
        <x:v>737.793</x:v>
      </x:c>
      <x:c r="H47" s="8" t="n">
        <x:v>751.058</x:v>
      </x:c>
      <x:c r="I47" s="8" t="n">
        <x:v>764.158</x:v>
      </x:c>
      <x:c r="J47" s="8" t="n">
        <x:v>777.145</x:v>
      </x:c>
      <x:c r="K47" s="8" t="n">
        <x:v>790.058</x:v>
      </x:c>
      <x:c r="L47" s="8" t="n">
        <x:v>802.925</x:v>
      </x:c>
      <x:c r="M47" s="8" t="n">
        <x:v>815.77</x:v>
      </x:c>
      <x:c r="N47" s="8" t="n">
        <x:v>828.608</x:v>
      </x:c>
      <x:c r="O47" s="8" t="n">
        <x:v>841.455</x:v>
      </x:c>
      <x:c r="P47" s="8" t="n">
        <x:v>854.321</x:v>
      </x:c>
      <x:c r="Q47" s="8" t="n">
        <x:v>867.215</x:v>
      </x:c>
      <x:c r="R47" s="8" t="n">
        <x:v>880.144</x:v>
      </x:c>
      <x:c r="S47" s="8" t="n">
        <x:v>893.116</x:v>
      </x:c>
      <x:c r="T47" s="8" t="n">
        <x:v>906.135</x:v>
      </x:c>
      <x:c r="U47" s="8" t="n">
        <x:v>919.207</x:v>
      </x:c>
      <x:c r="V47" s="8" t="n">
        <x:v>932.333</x:v>
      </x:c>
      <x:c r="W47" s="8" t="n">
        <x:v>945.519</x:v>
      </x:c>
    </x:row>
    <x:row r="48" ht="21" customHeight="1">
      <x:c r="A48" s="8" t="n">
        <x:v>110</x:v>
      </x:c>
      <x:c r="B48" s="8" t="n">
        <x:v>23.826</x:v>
      </x:c>
      <x:c r="C48" s="8" t="n">
        <x:v>683.741</x:v>
      </x:c>
      <x:c r="D48" s="8" t="n">
        <x:v>700.295</x:v>
      </x:c>
      <x:c r="E48" s="8" t="n">
        <x:v>715.518</x:v>
      </x:c>
      <x:c r="F48" s="8" t="n">
        <x:v>729.987</x:v>
      </x:c>
      <x:c r="G48" s="8" t="n">
        <x:v>743.982</x:v>
      </x:c>
      <x:c r="H48" s="8" t="n">
        <x:v>757.66</x:v>
      </x:c>
      <x:c r="I48" s="8" t="n">
        <x:v>771.121</x:v>
      </x:c>
      <x:c r="J48" s="8" t="n">
        <x:v>784.433</x:v>
      </x:c>
      <x:c r="K48" s="8" t="n">
        <x:v>797.642</x:v>
      </x:c>
      <x:c r="L48" s="8" t="n">
        <x:v>810.784</x:v>
      </x:c>
      <x:c r="M48" s="8" t="n">
        <x:v>823.884</x:v>
      </x:c>
      <x:c r="N48" s="8" t="n">
        <x:v>836.964</x:v>
      </x:c>
      <x:c r="O48" s="8" t="n">
        <x:v>850.038</x:v>
      </x:c>
      <x:c r="P48" s="8" t="n">
        <x:v>863.121</x:v>
      </x:c>
      <x:c r="Q48" s="8" t="n">
        <x:v>876.222</x:v>
      </x:c>
      <x:c r="R48" s="8" t="n">
        <x:v>889.35</x:v>
      </x:c>
      <x:c r="S48" s="8" t="n">
        <x:v>902.514</x:v>
      </x:c>
      <x:c r="T48" s="8" t="n">
        <x:v>915.718</x:v>
      </x:c>
      <x:c r="U48" s="8" t="n">
        <x:v>928.968</x:v>
      </x:c>
      <x:c r="V48" s="8" t="n">
        <x:v>942.269</x:v>
      </x:c>
      <x:c r="W48" s="8" t="n">
        <x:v>955.623</x:v>
      </x:c>
    </x:row>
    <x:row r="49" ht="21" customHeight="1">
      <x:c r="A49" s="8" t="n">
        <x:v>115</x:v>
      </x:c>
      <x:c r="B49" s="8" t="n">
        <x:v>26.019</x:v>
      </x:c>
      <x:c r="C49" s="8" t="n">
        <x:v>685.808</x:v>
      </x:c>
      <x:c r="D49" s="8" t="n">
        <x:v>704.054</x:v>
      </x:c>
      <x:c r="E49" s="8" t="n">
        <x:v>720.258</x:v>
      </x:c>
      <x:c r="F49" s="8" t="n">
        <x:v>735.422</x:v>
      </x:c>
      <x:c r="G49" s="8" t="n">
        <x:v>749.96</x:v>
      </x:c>
      <x:c r="H49" s="8" t="n">
        <x:v>764.091</x:v>
      </x:c>
      <x:c r="I49" s="8" t="n">
        <x:v>777.944</x:v>
      </x:c>
      <x:c r="J49" s="8" t="n">
        <x:v>791.603</x:v>
      </x:c>
      <x:c r="K49" s="8" t="n">
        <x:v>805.127</x:v>
      </x:c>
      <x:c r="L49" s="8" t="n">
        <x:v>818.557</x:v>
      </x:c>
      <x:c r="M49" s="8" t="n">
        <x:v>831.926</x:v>
      </x:c>
      <x:c r="N49" s="8" t="n">
        <x:v>845.256</x:v>
      </x:c>
      <x:c r="O49" s="8" t="n">
        <x:v>858.566</x:v>
      </x:c>
      <x:c r="P49" s="8" t="n">
        <x:v>871.873</x:v>
      </x:c>
      <x:c r="Q49" s="8" t="n">
        <x:v>885.188</x:v>
      </x:c>
      <x:c r="R49" s="8" t="n">
        <x:v>898.521</x:v>
      </x:c>
      <x:c r="S49" s="8" t="n">
        <x:v>911.881</x:v>
      </x:c>
      <x:c r="T49" s="8" t="n">
        <x:v>925.275</x:v>
      </x:c>
      <x:c r="U49" s="8" t="n">
        <x:v>938.708</x:v>
      </x:c>
      <x:c r="V49" s="8" t="n">
        <x:v>952.185</x:v>
      </x:c>
      <x:c r="W49" s="8" t="n">
        <x:v>965.712</x:v>
      </x:c>
    </x:row>
    <x:row r="50" ht="21" customHeight="1">
      <x:c r="A50" s="8" t="n">
        <x:v>120</x:v>
      </x:c>
      <x:c r="B50" s="8" t="n">
        <x:v>28.366</x:v>
      </x:c>
      <x:c r="C50" s="8" t="n">
        <x:v>686.459</x:v>
      </x:c>
      <x:c r="D50" s="8" t="n">
        <x:v>707.16</x:v>
      </x:c>
      <x:c r="E50" s="8" t="n">
        <x:v>724.58</x:v>
      </x:c>
      <x:c r="F50" s="8" t="n">
        <x:v>740.552</x:v>
      </x:c>
      <x:c r="G50" s="8" t="n">
        <x:v>755.703</x:v>
      </x:c>
      <x:c r="H50" s="8" t="n">
        <x:v>770.332</x:v>
      </x:c>
      <x:c r="I50" s="8" t="n">
        <x:v>784.61</x:v>
      </x:c>
      <x:c r="J50" s="8" t="n">
        <x:v>798.642</x:v>
      </x:c>
      <x:c r="K50" s="8" t="n">
        <x:v>812.5</x:v>
      </x:c>
      <x:c r="L50" s="8" t="n">
        <x:v>826.235</x:v>
      </x:c>
      <x:c r="M50" s="8" t="n">
        <x:v>839.884</x:v>
      </x:c>
      <x:c r="N50" s="8" t="n">
        <x:v>853.475</x:v>
      </x:c>
      <x:c r="O50" s="8" t="n">
        <x:v>867.032</x:v>
      </x:c>
      <x:c r="P50" s="8" t="n">
        <x:v>880.57</x:v>
      </x:c>
      <x:c r="Q50" s="8" t="n">
        <x:v>894.106</x:v>
      </x:c>
      <x:c r="R50" s="8" t="n">
        <x:v>907.649</x:v>
      </x:c>
      <x:c r="S50" s="8" t="n">
        <x:v>921.211</x:v>
      </x:c>
      <x:c r="T50" s="8" t="n">
        <x:v>934.799</x:v>
      </x:c>
      <x:c r="U50" s="8" t="n">
        <x:v>948.419</x:v>
      </x:c>
      <x:c r="V50" s="8" t="n">
        <x:v>962.077</x:v>
      </x:c>
      <x:c r="W50" s="8" t="n">
        <x:v>975.779</x:v>
      </x:c>
    </x:row>
    <x:row r="51" ht="21" customHeight="1">
      <x:c r="A51" s="8" t="n">
        <x:v>125</x:v>
      </x:c>
      <x:c r="B51" s="8" t="n">
        <x:v>30.88</x:v>
      </x:c>
      <x:c r="C51" s="8" t="n">
        <x:v>684.814</x:v>
      </x:c>
      <x:c r="D51" s="8" t="n">
        <x:v>709.459</x:v>
      </x:c>
      <x:c r="E51" s="8" t="n">
        <x:v>728.416</x:v>
      </x:c>
      <x:c r="F51" s="8" t="n">
        <x:v>745.337</x:v>
      </x:c>
      <x:c r="G51" s="8" t="n">
        <x:v>761.181</x:v>
      </x:c>
      <x:c r="H51" s="8" t="n">
        <x:v>776.362</x:v>
      </x:c>
      <x:c r="I51" s="8" t="n">
        <x:v>791.101</x:v>
      </x:c>
      <x:c r="J51" s="8" t="n">
        <x:v>805.534</x:v>
      </x:c>
      <x:c r="K51" s="8" t="n">
        <x:v>819.747</x:v>
      </x:c>
      <x:c r="L51" s="8" t="n">
        <x:v>833.803</x:v>
      </x:c>
      <x:c r="M51" s="8" t="n">
        <x:v>847.747</x:v>
      </x:c>
      <x:c r="N51" s="8" t="n">
        <x:v>861.611</x:v>
      </x:c>
      <x:c r="O51" s="8" t="n">
        <x:v>875.423</x:v>
      </x:c>
      <x:c r="P51" s="8" t="n">
        <x:v>889.202</x:v>
      </x:c>
      <x:c r="Q51" s="8" t="n">
        <x:v>902.965</x:v>
      </x:c>
      <x:c r="R51" s="8" t="n">
        <x:v>916.726</x:v>
      </x:c>
      <x:c r="S51" s="8" t="n">
        <x:v>930.495</x:v>
      </x:c>
      <x:c r="T51" s="8" t="n">
        <x:v>944.281</x:v>
      </x:c>
      <x:c r="U51" s="8" t="n">
        <x:v>958.093</x:v>
      </x:c>
      <x:c r="V51" s="8" t="n">
        <x:v>971.936</x:v>
      </x:c>
      <x:c r="W51" s="8" t="n">
        <x:v>985.817</x:v>
      </x:c>
    </x:row>
    <x:row r="52" ht="21" customHeight="1">
      <x:c r="A52" s="8" t="n">
        <x:v>130</x:v>
      </x:c>
      <x:c r="B52" s="8" t="n">
        <x:v>33.578</x:v>
      </x:c>
      <x:c r="C52" s="8" t="n">
        <x:v>678.439</x:v>
      </x:c>
      <x:c r="D52" s="8" t="n">
        <x:v>710.759</x:v>
      </x:c>
      <x:c r="E52" s="8" t="n">
        <x:v>731.688</x:v>
      </x:c>
      <x:c r="F52" s="8" t="n">
        <x:v>749.729</x:v>
      </x:c>
      <x:c r="G52" s="8" t="n">
        <x:v>766.358</x:v>
      </x:c>
      <x:c r="H52" s="8" t="n">
        <x:v>782.149</x:v>
      </x:c>
      <x:c r="I52" s="8" t="n">
        <x:v>797.391</x:v>
      </x:c>
      <x:c r="J52" s="8" t="n">
        <x:v>812.254</x:v>
      </x:c>
      <x:c r="K52" s="8" t="n">
        <x:v>826.846</x:v>
      </x:c>
      <x:c r="L52" s="8" t="n">
        <x:v>841.241</x:v>
      </x:c>
      <x:c r="M52" s="8" t="n">
        <x:v>855.494</x:v>
      </x:c>
      <x:c r="N52" s="8" t="n">
        <x:v>869.644</x:v>
      </x:c>
      <x:c r="O52" s="8" t="n">
        <x:v>883.722</x:v>
      </x:c>
      <x:c r="P52" s="8" t="n">
        <x:v>897.75</x:v>
      </x:c>
      <x:c r="Q52" s="8" t="n">
        <x:v>911.749</x:v>
      </x:c>
      <x:c r="R52" s="8" t="n">
        <x:v>925.734</x:v>
      </x:c>
      <x:c r="S52" s="8" t="n">
        <x:v>939.716</x:v>
      </x:c>
      <x:c r="T52" s="8" t="n">
        <x:v>953.707</x:v>
      </x:c>
      <x:c r="U52" s="8" t="n">
        <x:v>967.715</x:v>
      </x:c>
      <x:c r="V52" s="8" t="n">
        <x:v>981.748</x:v>
      </x:c>
      <x:c r="W52" s="8" t="n">
        <x:v>995.812</x:v>
      </x:c>
    </x:row>
  </x:sheetData>
  <x:mergeCells>
    <x:mergeCell ref="A1:H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8d89049cd1cd4225"/>
  </x:tableParts>
</x:worksheet>
</file>

<file path=xl/worksheets/sheet5.xml><?xml version="1.0" encoding="utf-8"?>
<x:worksheet xmlns:x="http://schemas.openxmlformats.org/spreadsheetml/2006/main">
  <x:sheetPr>
    <x:tabColor rgb="FF176A6F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4" customHeight="1">
      <x:c r="A1" s="3" t="str">
        <x:v>R600a · Entropia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4" customHeight="1">
      <x:c r="A2" s="7" t="str">
        <x:v>Fuente: tablas.pdf, página 4. Auditoría en GitHub: data/r600a/cell_audit.json.</x:v>
      </x:c>
      <x:c r="B2" s="7"/>
      <x:c r="C2" s="7"/>
      <x:c r="D2" s="7"/>
      <x:c r="E2" s="7"/>
      <x:c r="F2" s="7"/>
      <x:c r="G2" s="7"/>
      <x:c r="H2" s="7"/>
      <x:c r="I2" s="7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34" customHeight="1">
      <x:c r="A3" s="7" t="str">
        <x:v>Las columnas ΔT son grados de sobrecalentamiento: T absoluta = T sat + ΔT. Entropía en kJ/(kg K).</x:v>
      </x:c>
      <x:c r="B3" s="7"/>
      <x:c r="C3" s="7"/>
      <x:c r="D3" s="7"/>
      <x:c r="E3" s="7"/>
      <x:c r="F3" s="7"/>
      <x:c r="G3" s="7"/>
      <x:c r="H3" s="7"/>
      <x:c r="I3" s="7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36" customHeight="1">
      <x:c r="A4" s="5" t="str">
        <x:v>T sat (°C)</x:v>
      </x:c>
      <x:c r="B4" s="5" t="str">
        <x:v>P (bar)</x:v>
      </x:c>
      <x:c r="C4" s="5" t="str">
        <x:v>ΔT 0 °C</x:v>
      </x:c>
      <x:c r="D4" s="5" t="str">
        <x:v>ΔT 5 °C</x:v>
      </x:c>
      <x:c r="E4" s="5" t="str">
        <x:v>ΔT 10 °C</x:v>
      </x:c>
      <x:c r="F4" s="5" t="str">
        <x:v>ΔT 15 °C</x:v>
      </x:c>
      <x:c r="G4" s="5" t="str">
        <x:v>ΔT 20 °C</x:v>
      </x:c>
      <x:c r="H4" s="5" t="str">
        <x:v>ΔT 25 °C</x:v>
      </x:c>
      <x:c r="I4" s="5" t="str">
        <x:v>ΔT 30 °C</x:v>
      </x:c>
      <x:c r="J4" s="5" t="str">
        <x:v>ΔT 35 °C</x:v>
      </x:c>
      <x:c r="K4" s="5" t="str">
        <x:v>ΔT 40 °C</x:v>
      </x:c>
      <x:c r="L4" s="5" t="str">
        <x:v>ΔT 45 °C</x:v>
      </x:c>
      <x:c r="M4" s="5" t="str">
        <x:v>ΔT 50 °C</x:v>
      </x:c>
      <x:c r="N4" s="5" t="str">
        <x:v>ΔT 55 °C</x:v>
      </x:c>
      <x:c r="O4" s="5" t="str">
        <x:v>ΔT 60 °C</x:v>
      </x:c>
      <x:c r="P4" s="5" t="str">
        <x:v>ΔT 65 °C</x:v>
      </x:c>
      <x:c r="Q4" s="5" t="str">
        <x:v>ΔT 70 °C</x:v>
      </x:c>
      <x:c r="R4" s="5" t="str">
        <x:v>ΔT 75 °C</x:v>
      </x:c>
      <x:c r="S4" s="5" t="str">
        <x:v>ΔT 80 °C</x:v>
      </x:c>
      <x:c r="T4" s="5" t="str">
        <x:v>ΔT 85 °C</x:v>
      </x:c>
      <x:c r="U4" s="5" t="str">
        <x:v>ΔT 90 °C</x:v>
      </x:c>
      <x:c r="V4" s="5" t="str">
        <x:v>ΔT 95 °C</x:v>
      </x:c>
      <x:c r="W4" s="5" t="str">
        <x:v>ΔT 100 °C</x:v>
      </x:c>
    </x:row>
    <x:row r="5" ht="21" customHeight="1">
      <x:c r="A5" s="8" t="n">
        <x:v>-100</x:v>
      </x:c>
      <x:c r="B5" s="8" t="n">
        <x:v>0.004</x:v>
      </x:c>
      <x:c r="C5" s="8" t="n">
        <x:v>2.577</x:v>
      </x:c>
      <x:c r="D5" s="8" t="n">
        <x:v>2.609</x:v>
      </x:c>
      <x:c r="E5" s="8" t="n">
        <x:v>2.642</x:v>
      </x:c>
      <x:c r="F5" s="8" t="n">
        <x:v>2.673</x:v>
      </x:c>
      <x:c r="G5" s="8" t="n">
        <x:v>2.705</x:v>
      </x:c>
      <x:c r="H5" s="8" t="n">
        <x:v>2.736</x:v>
      </x:c>
      <x:c r="I5" s="8" t="n">
        <x:v>2.767</x:v>
      </x:c>
      <x:c r="J5" s="8" t="n">
        <x:v>2.797</x:v>
      </x:c>
      <x:c r="K5" s="8" t="n">
        <x:v>2.828</x:v>
      </x:c>
      <x:c r="L5" s="8" t="n">
        <x:v>2.858</x:v>
      </x:c>
      <x:c r="M5" s="8" t="n">
        <x:v>2.888</x:v>
      </x:c>
      <x:c r="N5" s="8" t="n">
        <x:v>2.918</x:v>
      </x:c>
      <x:c r="O5" s="8" t="n">
        <x:v>2.947</x:v>
      </x:c>
      <x:c r="P5" s="8" t="n">
        <x:v>2.976</x:v>
      </x:c>
      <x:c r="Q5" s="8" t="n">
        <x:v>3.006</x:v>
      </x:c>
      <x:c r="R5" s="8" t="n">
        <x:v>3.035</x:v>
      </x:c>
      <x:c r="S5" s="8" t="n">
        <x:v>3.063</x:v>
      </x:c>
      <x:c r="T5" s="8" t="n">
        <x:v>3.092</x:v>
      </x:c>
      <x:c r="U5" s="8" t="n">
        <x:v>3.121</x:v>
      </x:c>
      <x:c r="V5" s="8" t="n">
        <x:v>3.149</x:v>
      </x:c>
      <x:c r="W5" s="8" t="n">
        <x:v>3.178</x:v>
      </x:c>
    </x:row>
    <x:row r="6" ht="21" customHeight="1">
      <x:c r="A6" s="8" t="n">
        <x:v>-95</x:v>
      </x:c>
      <x:c r="B6" s="8" t="n">
        <x:v>0.006</x:v>
      </x:c>
      <x:c r="C6" s="8" t="n">
        <x:v>2.539</x:v>
      </x:c>
      <x:c r="D6" s="8" t="n">
        <x:v>2.571</x:v>
      </x:c>
      <x:c r="E6" s="8" t="n">
        <x:v>2.603</x:v>
      </x:c>
      <x:c r="F6" s="8" t="n">
        <x:v>2.634</x:v>
      </x:c>
      <x:c r="G6" s="8" t="n">
        <x:v>2.666</x:v>
      </x:c>
      <x:c r="H6" s="8" t="n">
        <x:v>2.697</x:v>
      </x:c>
      <x:c r="I6" s="8" t="n">
        <x:v>2.727</x:v>
      </x:c>
      <x:c r="J6" s="8" t="n">
        <x:v>2.758</x:v>
      </x:c>
      <x:c r="K6" s="8" t="n">
        <x:v>2.788</x:v>
      </x:c>
      <x:c r="L6" s="8" t="n">
        <x:v>2.818</x:v>
      </x:c>
      <x:c r="M6" s="8" t="n">
        <x:v>2.847</x:v>
      </x:c>
      <x:c r="N6" s="8" t="n">
        <x:v>2.877</x:v>
      </x:c>
      <x:c r="O6" s="8" t="n">
        <x:v>2.906</x:v>
      </x:c>
      <x:c r="P6" s="8" t="n">
        <x:v>2.935</x:v>
      </x:c>
      <x:c r="Q6" s="8" t="n">
        <x:v>2.964</x:v>
      </x:c>
      <x:c r="R6" s="8" t="n">
        <x:v>2.993</x:v>
      </x:c>
      <x:c r="S6" s="8" t="n">
        <x:v>3.022</x:v>
      </x:c>
      <x:c r="T6" s="8" t="n">
        <x:v>3.051</x:v>
      </x:c>
      <x:c r="U6" s="8" t="n">
        <x:v>3.079</x:v>
      </x:c>
      <x:c r="V6" s="8" t="n">
        <x:v>3.107</x:v>
      </x:c>
      <x:c r="W6" s="8" t="n">
        <x:v>3.136</x:v>
      </x:c>
    </x:row>
    <x:row r="7" ht="21" customHeight="1">
      <x:c r="A7" s="8" t="n">
        <x:v>-90</x:v>
      </x:c>
      <x:c r="B7" s="8" t="n">
        <x:v>0.01</x:v>
      </x:c>
      <x:c r="C7" s="8" t="n">
        <x:v>2.505</x:v>
      </x:c>
      <x:c r="D7" s="8" t="n">
        <x:v>2.537</x:v>
      </x:c>
      <x:c r="E7" s="8" t="n">
        <x:v>2.569</x:v>
      </x:c>
      <x:c r="F7" s="8" t="n">
        <x:v>2.6</x:v>
      </x:c>
      <x:c r="G7" s="8" t="n">
        <x:v>2.631</x:v>
      </x:c>
      <x:c r="H7" s="8" t="n">
        <x:v>2.661</x:v>
      </x:c>
      <x:c r="I7" s="8" t="n">
        <x:v>2.692</x:v>
      </x:c>
      <x:c r="J7" s="8" t="n">
        <x:v>2.722</x:v>
      </x:c>
      <x:c r="K7" s="8" t="n">
        <x:v>2.752</x:v>
      </x:c>
      <x:c r="L7" s="8" t="n">
        <x:v>2.781</x:v>
      </x:c>
      <x:c r="M7" s="8" t="n">
        <x:v>2.811</x:v>
      </x:c>
      <x:c r="N7" s="8" t="n">
        <x:v>2.84</x:v>
      </x:c>
      <x:c r="O7" s="8" t="n">
        <x:v>2.869</x:v>
      </x:c>
      <x:c r="P7" s="8" t="n">
        <x:v>2.898</x:v>
      </x:c>
      <x:c r="Q7" s="8" t="n">
        <x:v>2.927</x:v>
      </x:c>
      <x:c r="R7" s="8" t="n">
        <x:v>2.956</x:v>
      </x:c>
      <x:c r="S7" s="8" t="n">
        <x:v>2.985</x:v>
      </x:c>
      <x:c r="T7" s="8" t="n">
        <x:v>3.013</x:v>
      </x:c>
      <x:c r="U7" s="8" t="n">
        <x:v>3.042</x:v>
      </x:c>
      <x:c r="V7" s="8" t="n">
        <x:v>3.07</x:v>
      </x:c>
      <x:c r="W7" s="8" t="n">
        <x:v>3.098</x:v>
      </x:c>
    </x:row>
    <x:row r="8" ht="21" customHeight="1">
      <x:c r="A8" s="8" t="n">
        <x:v>-85</x:v>
      </x:c>
      <x:c r="B8" s="8" t="n">
        <x:v>0.015</x:v>
      </x:c>
      <x:c r="C8" s="8" t="n">
        <x:v>2.475</x:v>
      </x:c>
      <x:c r="D8" s="8" t="n">
        <x:v>2.507</x:v>
      </x:c>
      <x:c r="E8" s="8" t="n">
        <x:v>2.538</x:v>
      </x:c>
      <x:c r="F8" s="8" t="n">
        <x:v>2.569</x:v>
      </x:c>
      <x:c r="G8" s="8" t="n">
        <x:v>2.599</x:v>
      </x:c>
      <x:c r="H8" s="8" t="n">
        <x:v>2.63</x:v>
      </x:c>
      <x:c r="I8" s="8" t="n">
        <x:v>2.66</x:v>
      </x:c>
      <x:c r="J8" s="8" t="n">
        <x:v>2.69</x:v>
      </x:c>
      <x:c r="K8" s="8" t="n">
        <x:v>2.719</x:v>
      </x:c>
      <x:c r="L8" s="8" t="n">
        <x:v>2.749</x:v>
      </x:c>
      <x:c r="M8" s="8" t="n">
        <x:v>2.778</x:v>
      </x:c>
      <x:c r="N8" s="8" t="n">
        <x:v>2.808</x:v>
      </x:c>
      <x:c r="O8" s="8" t="n">
        <x:v>2.837</x:v>
      </x:c>
      <x:c r="P8" s="8" t="n">
        <x:v>2.865</x:v>
      </x:c>
      <x:c r="Q8" s="8" t="n">
        <x:v>2.894</x:v>
      </x:c>
      <x:c r="R8" s="8" t="n">
        <x:v>2.923</x:v>
      </x:c>
      <x:c r="S8" s="8" t="n">
        <x:v>2.951</x:v>
      </x:c>
      <x:c r="T8" s="8" t="n">
        <x:v>2.98</x:v>
      </x:c>
      <x:c r="U8" s="8" t="n">
        <x:v>3.008</x:v>
      </x:c>
      <x:c r="V8" s="8" t="n">
        <x:v>3.036</x:v>
      </x:c>
      <x:c r="W8" s="8" t="n">
        <x:v>3.064</x:v>
      </x:c>
    </x:row>
    <x:row r="9" ht="21" customHeight="1">
      <x:c r="A9" s="8" t="n">
        <x:v>-80</x:v>
      </x:c>
      <x:c r="B9" s="8" t="n">
        <x:v>0.023</x:v>
      </x:c>
      <x:c r="C9" s="8" t="n">
        <x:v>2.448</x:v>
      </x:c>
      <x:c r="D9" s="8" t="n">
        <x:v>2.479</x:v>
      </x:c>
      <x:c r="E9" s="8" t="n">
        <x:v>2.51</x:v>
      </x:c>
      <x:c r="F9" s="8" t="n">
        <x:v>2.541</x:v>
      </x:c>
      <x:c r="G9" s="8" t="n">
        <x:v>2.571</x:v>
      </x:c>
      <x:c r="H9" s="8" t="n">
        <x:v>2.602</x:v>
      </x:c>
      <x:c r="I9" s="8" t="n">
        <x:v>2.631</x:v>
      </x:c>
      <x:c r="J9" s="8" t="n">
        <x:v>2.661</x:v>
      </x:c>
      <x:c r="K9" s="8" t="n">
        <x:v>2.691</x:v>
      </x:c>
      <x:c r="L9" s="8" t="n">
        <x:v>2.72</x:v>
      </x:c>
      <x:c r="M9" s="8" t="n">
        <x:v>2.749</x:v>
      </x:c>
      <x:c r="N9" s="8" t="n">
        <x:v>2.778</x:v>
      </x:c>
      <x:c r="O9" s="8" t="n">
        <x:v>2.807</x:v>
      </x:c>
      <x:c r="P9" s="8" t="n">
        <x:v>2.836</x:v>
      </x:c>
      <x:c r="Q9" s="8" t="n">
        <x:v>2.865</x:v>
      </x:c>
      <x:c r="R9" s="8" t="n">
        <x:v>2.893</x:v>
      </x:c>
      <x:c r="S9" s="8" t="n">
        <x:v>2.922</x:v>
      </x:c>
      <x:c r="T9" s="8" t="n">
        <x:v>2.95</x:v>
      </x:c>
      <x:c r="U9" s="8" t="n">
        <x:v>2.978</x:v>
      </x:c>
      <x:c r="V9" s="8" t="n">
        <x:v>3.006</x:v>
      </x:c>
      <x:c r="W9" s="8" t="n">
        <x:v>3.034</x:v>
      </x:c>
    </x:row>
    <x:row r="10" ht="21" customHeight="1">
      <x:c r="A10" s="8" t="n">
        <x:v>-75</x:v>
      </x:c>
      <x:c r="B10" s="8" t="n">
        <x:v>0.033</x:v>
      </x:c>
      <x:c r="C10" s="8" t="n">
        <x:v>2.424</x:v>
      </x:c>
      <x:c r="D10" s="8" t="n">
        <x:v>2.455</x:v>
      </x:c>
      <x:c r="E10" s="8" t="n">
        <x:v>2.486</x:v>
      </x:c>
      <x:c r="F10" s="8" t="n">
        <x:v>2.516</x:v>
      </x:c>
      <x:c r="G10" s="8" t="n">
        <x:v>2.547</x:v>
      </x:c>
      <x:c r="H10" s="8" t="n">
        <x:v>2.577</x:v>
      </x:c>
      <x:c r="I10" s="8" t="n">
        <x:v>2.606</x:v>
      </x:c>
      <x:c r="J10" s="8" t="n">
        <x:v>2.636</x:v>
      </x:c>
      <x:c r="K10" s="8" t="n">
        <x:v>2.665</x:v>
      </x:c>
      <x:c r="L10" s="8" t="n">
        <x:v>2.694</x:v>
      </x:c>
      <x:c r="M10" s="8" t="n">
        <x:v>2.723</x:v>
      </x:c>
      <x:c r="N10" s="8" t="n">
        <x:v>2.752</x:v>
      </x:c>
      <x:c r="O10" s="8" t="n">
        <x:v>2.781</x:v>
      </x:c>
      <x:c r="P10" s="8" t="n">
        <x:v>2.81</x:v>
      </x:c>
      <x:c r="Q10" s="8" t="n">
        <x:v>2.838</x:v>
      </x:c>
      <x:c r="R10" s="8" t="n">
        <x:v>2.867</x:v>
      </x:c>
      <x:c r="S10" s="8" t="n">
        <x:v>2.895</x:v>
      </x:c>
      <x:c r="T10" s="8" t="n">
        <x:v>2.923</x:v>
      </x:c>
      <x:c r="U10" s="8" t="n">
        <x:v>2.951</x:v>
      </x:c>
      <x:c r="V10" s="8" t="n">
        <x:v>2.979</x:v>
      </x:c>
      <x:c r="W10" s="8" t="n">
        <x:v>3.007</x:v>
      </x:c>
    </x:row>
    <x:row r="11" ht="21" customHeight="1">
      <x:c r="A11" s="8" t="n">
        <x:v>-70</x:v>
      </x:c>
      <x:c r="B11" s="8" t="n">
        <x:v>0.048</x:v>
      </x:c>
      <x:c r="C11" s="8" t="n">
        <x:v>2.403</x:v>
      </x:c>
      <x:c r="D11" s="8" t="n">
        <x:v>2.434</x:v>
      </x:c>
      <x:c r="E11" s="8" t="n">
        <x:v>2.464</x:v>
      </x:c>
      <x:c r="F11" s="8" t="n">
        <x:v>2.495</x:v>
      </x:c>
      <x:c r="G11" s="8" t="n">
        <x:v>2.525</x:v>
      </x:c>
      <x:c r="H11" s="8" t="n">
        <x:v>2.554</x:v>
      </x:c>
      <x:c r="I11" s="8" t="n">
        <x:v>2.584</x:v>
      </x:c>
      <x:c r="J11" s="8" t="n">
        <x:v>2.613</x:v>
      </x:c>
      <x:c r="K11" s="8" t="n">
        <x:v>2.643</x:v>
      </x:c>
      <x:c r="L11" s="8" t="n">
        <x:v>2.672</x:v>
      </x:c>
      <x:c r="M11" s="8" t="n">
        <x:v>2.701</x:v>
      </x:c>
      <x:c r="N11" s="8" t="n">
        <x:v>2.729</x:v>
      </x:c>
      <x:c r="O11" s="8" t="n">
        <x:v>2.758</x:v>
      </x:c>
      <x:c r="P11" s="8" t="n">
        <x:v>2.786</x:v>
      </x:c>
      <x:c r="Q11" s="8" t="n">
        <x:v>2.815</x:v>
      </x:c>
      <x:c r="R11" s="8" t="n">
        <x:v>2.843</x:v>
      </x:c>
      <x:c r="S11" s="8" t="n">
        <x:v>2.871</x:v>
      </x:c>
      <x:c r="T11" s="8" t="n">
        <x:v>2.9</x:v>
      </x:c>
      <x:c r="U11" s="8" t="n">
        <x:v>2.928</x:v>
      </x:c>
      <x:c r="V11" s="8" t="n">
        <x:v>2.955</x:v>
      </x:c>
      <x:c r="W11" s="8" t="n">
        <x:v>2.983</x:v>
      </x:c>
    </x:row>
    <x:row r="12" ht="21" customHeight="1">
      <x:c r="A12" s="8" t="n">
        <x:v>-65</x:v>
      </x:c>
      <x:c r="B12" s="8" t="n">
        <x:v>0.067</x:v>
      </x:c>
      <x:c r="C12" s="8" t="n">
        <x:v>2.385</x:v>
      </x:c>
      <x:c r="D12" s="8" t="n">
        <x:v>2.415</x:v>
      </x:c>
      <x:c r="E12" s="8" t="n">
        <x:v>2.445</x:v>
      </x:c>
      <x:c r="F12" s="8" t="n">
        <x:v>2.475</x:v>
      </x:c>
      <x:c r="G12" s="8" t="n">
        <x:v>2.505</x:v>
      </x:c>
      <x:c r="H12" s="8" t="n">
        <x:v>2.535</x:v>
      </x:c>
      <x:c r="I12" s="8" t="n">
        <x:v>2.564</x:v>
      </x:c>
      <x:c r="J12" s="8" t="n">
        <x:v>2.593</x:v>
      </x:c>
      <x:c r="K12" s="8" t="n">
        <x:v>2.623</x:v>
      </x:c>
      <x:c r="L12" s="8" t="n">
        <x:v>2.652</x:v>
      </x:c>
      <x:c r="M12" s="8" t="n">
        <x:v>2.68</x:v>
      </x:c>
      <x:c r="N12" s="8" t="n">
        <x:v>2.709</x:v>
      </x:c>
      <x:c r="O12" s="8" t="n">
        <x:v>2.738</x:v>
      </x:c>
      <x:c r="P12" s="8" t="n">
        <x:v>2.766</x:v>
      </x:c>
      <x:c r="Q12" s="8" t="n">
        <x:v>2.794</x:v>
      </x:c>
      <x:c r="R12" s="8" t="n">
        <x:v>2.822</x:v>
      </x:c>
      <x:c r="S12" s="8" t="n">
        <x:v>2.851</x:v>
      </x:c>
      <x:c r="T12" s="8" t="n">
        <x:v>2.879</x:v>
      </x:c>
      <x:c r="U12" s="8" t="n">
        <x:v>2.907</x:v>
      </x:c>
      <x:c r="V12" s="8" t="n">
        <x:v>2.934</x:v>
      </x:c>
      <x:c r="W12" s="8" t="n">
        <x:v>2.962</x:v>
      </x:c>
    </x:row>
    <x:row r="13" ht="21" customHeight="1">
      <x:c r="A13" s="8" t="n">
        <x:v>-60</x:v>
      </x:c>
      <x:c r="B13" s="8" t="n">
        <x:v>0.093</x:v>
      </x:c>
      <x:c r="C13" s="8" t="n">
        <x:v>2.368</x:v>
      </x:c>
      <x:c r="D13" s="8" t="n">
        <x:v>2.399</x:v>
      </x:c>
      <x:c r="E13" s="8" t="n">
        <x:v>2.429</x:v>
      </x:c>
      <x:c r="F13" s="8" t="n">
        <x:v>2.459</x:v>
      </x:c>
      <x:c r="G13" s="8" t="n">
        <x:v>2.488</x:v>
      </x:c>
      <x:c r="H13" s="8" t="n">
        <x:v>2.518</x:v>
      </x:c>
      <x:c r="I13" s="8" t="n">
        <x:v>2.547</x:v>
      </x:c>
      <x:c r="J13" s="8" t="n">
        <x:v>2.576</x:v>
      </x:c>
      <x:c r="K13" s="8" t="n">
        <x:v>2.605</x:v>
      </x:c>
      <x:c r="L13" s="8" t="n">
        <x:v>2.634</x:v>
      </x:c>
      <x:c r="M13" s="8" t="n">
        <x:v>2.663</x:v>
      </x:c>
      <x:c r="N13" s="8" t="n">
        <x:v>2.691</x:v>
      </x:c>
      <x:c r="O13" s="8" t="n">
        <x:v>2.72</x:v>
      </x:c>
      <x:c r="P13" s="8" t="n">
        <x:v>2.748</x:v>
      </x:c>
      <x:c r="Q13" s="8" t="n">
        <x:v>2.776</x:v>
      </x:c>
      <x:c r="R13" s="8" t="n">
        <x:v>2.804</x:v>
      </x:c>
      <x:c r="S13" s="8" t="n">
        <x:v>2.832</x:v>
      </x:c>
      <x:c r="T13" s="8" t="n">
        <x:v>2.86</x:v>
      </x:c>
      <x:c r="U13" s="8" t="n">
        <x:v>2.888</x:v>
      </x:c>
      <x:c r="V13" s="8" t="n">
        <x:v>2.916</x:v>
      </x:c>
      <x:c r="W13" s="8" t="n">
        <x:v>2.944</x:v>
      </x:c>
    </x:row>
    <x:row r="14" ht="21" customHeight="1">
      <x:c r="A14" s="8" t="n">
        <x:v>-55</x:v>
      </x:c>
      <x:c r="B14" s="8" t="n">
        <x:v>0.126</x:v>
      </x:c>
      <x:c r="C14" s="8" t="n">
        <x:v>2.354</x:v>
      </x:c>
      <x:c r="D14" s="8" t="n">
        <x:v>2.384</x:v>
      </x:c>
      <x:c r="E14" s="8" t="n">
        <x:v>2.414</x:v>
      </x:c>
      <x:c r="F14" s="8" t="n">
        <x:v>2.444</x:v>
      </x:c>
      <x:c r="G14" s="8" t="n">
        <x:v>2.473</x:v>
      </x:c>
      <x:c r="H14" s="8" t="n">
        <x:v>2.503</x:v>
      </x:c>
      <x:c r="I14" s="8" t="n">
        <x:v>2.532</x:v>
      </x:c>
      <x:c r="J14" s="8" t="n">
        <x:v>2.561</x:v>
      </x:c>
      <x:c r="K14" s="8" t="n">
        <x:v>2.59</x:v>
      </x:c>
      <x:c r="L14" s="8" t="n">
        <x:v>2.618</x:v>
      </x:c>
      <x:c r="M14" s="8" t="n">
        <x:v>2.647</x:v>
      </x:c>
      <x:c r="N14" s="8" t="n">
        <x:v>2.676</x:v>
      </x:c>
      <x:c r="O14" s="8" t="n">
        <x:v>2.704</x:v>
      </x:c>
      <x:c r="P14" s="8" t="n">
        <x:v>2.732</x:v>
      </x:c>
      <x:c r="Q14" s="8" t="n">
        <x:v>2.76</x:v>
      </x:c>
      <x:c r="R14" s="8" t="n">
        <x:v>2.788</x:v>
      </x:c>
      <x:c r="S14" s="8" t="n">
        <x:v>2.816</x:v>
      </x:c>
      <x:c r="T14" s="8" t="n">
        <x:v>2.844</x:v>
      </x:c>
      <x:c r="U14" s="8" t="n">
        <x:v>2.872</x:v>
      </x:c>
      <x:c r="V14" s="8" t="n">
        <x:v>2.9</x:v>
      </x:c>
      <x:c r="W14" s="8" t="n">
        <x:v>2.928</x:v>
      </x:c>
    </x:row>
    <x:row r="15" ht="21" customHeight="1">
      <x:c r="A15" s="8" t="n">
        <x:v>-50</x:v>
      </x:c>
      <x:c r="B15" s="8" t="n">
        <x:v>0.168</x:v>
      </x:c>
      <x:c r="C15" s="8" t="n">
        <x:v>2.342</x:v>
      </x:c>
      <x:c r="D15" s="8" t="n">
        <x:v>2.372</x:v>
      </x:c>
      <x:c r="E15" s="8" t="n">
        <x:v>2.402</x:v>
      </x:c>
      <x:c r="F15" s="8" t="n">
        <x:v>2.431</x:v>
      </x:c>
      <x:c r="G15" s="8" t="n">
        <x:v>2.461</x:v>
      </x:c>
      <x:c r="H15" s="8" t="n">
        <x:v>2.49</x:v>
      </x:c>
      <x:c r="I15" s="8" t="n">
        <x:v>2.519</x:v>
      </x:c>
      <x:c r="J15" s="8" t="n">
        <x:v>2.548</x:v>
      </x:c>
      <x:c r="K15" s="8" t="n">
        <x:v>2.577</x:v>
      </x:c>
      <x:c r="L15" s="8" t="n">
        <x:v>2.605</x:v>
      </x:c>
      <x:c r="M15" s="8" t="n">
        <x:v>2.634</x:v>
      </x:c>
      <x:c r="N15" s="8" t="n">
        <x:v>2.662</x:v>
      </x:c>
      <x:c r="O15" s="8" t="n">
        <x:v>2.69</x:v>
      </x:c>
      <x:c r="P15" s="8" t="n">
        <x:v>2.719</x:v>
      </x:c>
      <x:c r="Q15" s="8" t="n">
        <x:v>2.747</x:v>
      </x:c>
      <x:c r="R15" s="8" t="n">
        <x:v>2.775</x:v>
      </x:c>
      <x:c r="S15" s="8" t="n">
        <x:v>2.803</x:v>
      </x:c>
      <x:c r="T15" s="8" t="n">
        <x:v>2.83</x:v>
      </x:c>
      <x:c r="U15" s="8" t="n">
        <x:v>2.858</x:v>
      </x:c>
      <x:c r="V15" s="8" t="n">
        <x:v>2.886</x:v>
      </x:c>
      <x:c r="W15" s="8" t="n">
        <x:v>2.913</x:v>
      </x:c>
    </x:row>
    <x:row r="16" ht="21" customHeight="1">
      <x:c r="A16" s="8" t="n">
        <x:v>-45</x:v>
      </x:c>
      <x:c r="B16" s="8" t="n">
        <x:v>0.221</x:v>
      </x:c>
      <x:c r="C16" s="8" t="n">
        <x:v>2.331</x:v>
      </x:c>
      <x:c r="D16" s="8" t="n">
        <x:v>2.361</x:v>
      </x:c>
      <x:c r="E16" s="8" t="n">
        <x:v>2.391</x:v>
      </x:c>
      <x:c r="F16" s="8" t="n">
        <x:v>2.42</x:v>
      </x:c>
      <x:c r="G16" s="8" t="n">
        <x:v>2.45</x:v>
      </x:c>
      <x:c r="H16" s="8" t="n">
        <x:v>2.479</x:v>
      </x:c>
      <x:c r="I16" s="8" t="n">
        <x:v>2.508</x:v>
      </x:c>
      <x:c r="J16" s="8" t="n">
        <x:v>2.537</x:v>
      </x:c>
      <x:c r="K16" s="8" t="n">
        <x:v>2.565</x:v>
      </x:c>
      <x:c r="L16" s="8" t="n">
        <x:v>2.594</x:v>
      </x:c>
      <x:c r="M16" s="8" t="n">
        <x:v>2.622</x:v>
      </x:c>
      <x:c r="N16" s="8" t="n">
        <x:v>2.651</x:v>
      </x:c>
      <x:c r="O16" s="8" t="n">
        <x:v>2.679</x:v>
      </x:c>
      <x:c r="P16" s="8" t="n">
        <x:v>2.707</x:v>
      </x:c>
      <x:c r="Q16" s="8" t="n">
        <x:v>2.735</x:v>
      </x:c>
      <x:c r="R16" s="8" t="n">
        <x:v>2.763</x:v>
      </x:c>
      <x:c r="S16" s="8" t="n">
        <x:v>2.791</x:v>
      </x:c>
      <x:c r="T16" s="8" t="n">
        <x:v>2.818</x:v>
      </x:c>
      <x:c r="U16" s="8" t="n">
        <x:v>2.845</x:v>
      </x:c>
      <x:c r="V16" s="8" t="n">
        <x:v>2.874</x:v>
      </x:c>
      <x:c r="W16" s="8" t="n">
        <x:v>2.901</x:v>
      </x:c>
    </x:row>
    <x:row r="17" ht="21" customHeight="1">
      <x:c r="A17" s="8" t="n">
        <x:v>-40</x:v>
      </x:c>
      <x:c r="B17" s="8" t="n">
        <x:v>0.287</x:v>
      </x:c>
      <x:c r="C17" s="8" t="n">
        <x:v>2.323</x:v>
      </x:c>
      <x:c r="D17" s="8" t="n">
        <x:v>2.352</x:v>
      </x:c>
      <x:c r="E17" s="8" t="n">
        <x:v>2.382</x:v>
      </x:c>
      <x:c r="F17" s="8" t="n">
        <x:v>2.411</x:v>
      </x:c>
      <x:c r="G17" s="8" t="n">
        <x:v>2.441</x:v>
      </x:c>
      <x:c r="H17" s="8" t="n">
        <x:v>2.47</x:v>
      </x:c>
      <x:c r="I17" s="8" t="n">
        <x:v>2.498</x:v>
      </x:c>
      <x:c r="J17" s="8" t="n">
        <x:v>2.527</x:v>
      </x:c>
      <x:c r="K17" s="8" t="n">
        <x:v>2.556</x:v>
      </x:c>
      <x:c r="L17" s="8" t="n">
        <x:v>2.584</x:v>
      </x:c>
      <x:c r="M17" s="8" t="n">
        <x:v>2.613</x:v>
      </x:c>
      <x:c r="N17" s="8" t="n">
        <x:v>2.641</x:v>
      </x:c>
      <x:c r="O17" s="8" t="n">
        <x:v>2.669</x:v>
      </x:c>
      <x:c r="P17" s="8" t="n">
        <x:v>2.697</x:v>
      </x:c>
      <x:c r="Q17" s="8" t="n">
        <x:v>2.725</x:v>
      </x:c>
      <x:c r="R17" s="8" t="n">
        <x:v>2.753</x:v>
      </x:c>
      <x:c r="S17" s="8" t="n">
        <x:v>2.781</x:v>
      </x:c>
      <x:c r="T17" s="8" t="n">
        <x:v>2.808</x:v>
      </x:c>
      <x:c r="U17" s="8" t="n">
        <x:v>2.836</x:v>
      </x:c>
      <x:c r="V17" s="8" t="n">
        <x:v>2.864</x:v>
      </x:c>
      <x:c r="W17" s="8" t="n">
        <x:v>2.891</x:v>
      </x:c>
    </x:row>
    <x:row r="18" ht="21" customHeight="1">
      <x:c r="A18" s="8" t="n">
        <x:v>-35</x:v>
      </x:c>
      <x:c r="B18" s="8" t="n">
        <x:v>0.368</x:v>
      </x:c>
      <x:c r="C18" s="8" t="n">
        <x:v>2.315</x:v>
      </x:c>
      <x:c r="D18" s="8" t="n">
        <x:v>2.345</x:v>
      </x:c>
      <x:c r="E18" s="8" t="n">
        <x:v>2.375</x:v>
      </x:c>
      <x:c r="F18" s="8" t="n">
        <x:v>2.404</x:v>
      </x:c>
      <x:c r="G18" s="8" t="n">
        <x:v>2.433</x:v>
      </x:c>
      <x:c r="H18" s="8" t="n">
        <x:v>2.462</x:v>
      </x:c>
      <x:c r="I18" s="8" t="n">
        <x:v>2.491</x:v>
      </x:c>
      <x:c r="J18" s="8" t="n">
        <x:v>2.519</x:v>
      </x:c>
      <x:c r="K18" s="8" t="n">
        <x:v>2.548</x:v>
      </x:c>
      <x:c r="L18" s="8" t="n">
        <x:v>2.576</x:v>
      </x:c>
      <x:c r="M18" s="8" t="n">
        <x:v>2.604</x:v>
      </x:c>
      <x:c r="N18" s="8" t="n">
        <x:v>2.633</x:v>
      </x:c>
      <x:c r="O18" s="8" t="n">
        <x:v>2.661</x:v>
      </x:c>
      <x:c r="P18" s="8" t="n">
        <x:v>2.689</x:v>
      </x:c>
      <x:c r="Q18" s="8" t="n">
        <x:v>2.717</x:v>
      </x:c>
      <x:c r="R18" s="8" t="n">
        <x:v>2.745</x:v>
      </x:c>
      <x:c r="S18" s="8" t="n">
        <x:v>2.772</x:v>
      </x:c>
      <x:c r="T18" s="8" t="n">
        <x:v>2.8</x:v>
      </x:c>
      <x:c r="U18" s="8" t="n">
        <x:v>2.828</x:v>
      </x:c>
      <x:c r="V18" s="8" t="n">
        <x:v>2.855</x:v>
      </x:c>
      <x:c r="W18" s="8" t="n">
        <x:v>2.883</x:v>
      </x:c>
    </x:row>
    <x:row r="19" ht="21" customHeight="1">
      <x:c r="A19" s="8" t="n">
        <x:v>-30</x:v>
      </x:c>
      <x:c r="B19" s="8" t="n">
        <x:v>0.466</x:v>
      </x:c>
      <x:c r="C19" s="8" t="n">
        <x:v>2.309</x:v>
      </x:c>
      <x:c r="D19" s="8" t="n">
        <x:v>2.339</x:v>
      </x:c>
      <x:c r="E19" s="8" t="n">
        <x:v>2.368</x:v>
      </x:c>
      <x:c r="F19" s="8" t="n">
        <x:v>2.398</x:v>
      </x:c>
      <x:c r="G19" s="8" t="n">
        <x:v>2.427</x:v>
      </x:c>
      <x:c r="H19" s="8" t="n">
        <x:v>2.456</x:v>
      </x:c>
      <x:c r="I19" s="8" t="n">
        <x:v>2.484</x:v>
      </x:c>
      <x:c r="J19" s="8" t="n">
        <x:v>2.513</x:v>
      </x:c>
      <x:c r="K19" s="8" t="n">
        <x:v>2.541</x:v>
      </x:c>
      <x:c r="L19" s="8" t="n">
        <x:v>2.57</x:v>
      </x:c>
      <x:c r="M19" s="8" t="n">
        <x:v>2.598</x:v>
      </x:c>
      <x:c r="N19" s="8" t="n">
        <x:v>2.626</x:v>
      </x:c>
      <x:c r="O19" s="8" t="n">
        <x:v>2.654</x:v>
      </x:c>
      <x:c r="P19" s="8" t="n">
        <x:v>2.682</x:v>
      </x:c>
      <x:c r="Q19" s="8" t="n">
        <x:v>2.71</x:v>
      </x:c>
      <x:c r="R19" s="8" t="n">
        <x:v>2.738</x:v>
      </x:c>
      <x:c r="S19" s="8" t="n">
        <x:v>2.766</x:v>
      </x:c>
      <x:c r="T19" s="8" t="n">
        <x:v>2.793</x:v>
      </x:c>
      <x:c r="U19" s="8" t="n">
        <x:v>2.821</x:v>
      </x:c>
      <x:c r="V19" s="8" t="n">
        <x:v>2.848</x:v>
      </x:c>
      <x:c r="W19" s="8" t="n">
        <x:v>2.876</x:v>
      </x:c>
    </x:row>
    <x:row r="20" ht="21" customHeight="1">
      <x:c r="A20" s="8" t="n">
        <x:v>-25</x:v>
      </x:c>
      <x:c r="B20" s="8" t="n">
        <x:v>0.584</x:v>
      </x:c>
      <x:c r="C20" s="8" t="n">
        <x:v>2.305</x:v>
      </x:c>
      <x:c r="D20" s="8" t="n">
        <x:v>2.334</x:v>
      </x:c>
      <x:c r="E20" s="8" t="n">
        <x:v>2.364</x:v>
      </x:c>
      <x:c r="F20" s="8" t="n">
        <x:v>2.393</x:v>
      </x:c>
      <x:c r="G20" s="8" t="n">
        <x:v>2.422</x:v>
      </x:c>
      <x:c r="H20" s="8" t="n">
        <x:v>2.451</x:v>
      </x:c>
      <x:c r="I20" s="8" t="n">
        <x:v>2.479</x:v>
      </x:c>
      <x:c r="J20" s="8" t="n">
        <x:v>2.508</x:v>
      </x:c>
      <x:c r="K20" s="8" t="n">
        <x:v>2.536</x:v>
      </x:c>
      <x:c r="L20" s="8" t="n">
        <x:v>2.565</x:v>
      </x:c>
      <x:c r="M20" s="8" t="n">
        <x:v>2.593</x:v>
      </x:c>
      <x:c r="N20" s="8" t="n">
        <x:v>2.621</x:v>
      </x:c>
      <x:c r="O20" s="8" t="n">
        <x:v>2.649</x:v>
      </x:c>
      <x:c r="P20" s="8" t="n">
        <x:v>2.677</x:v>
      </x:c>
      <x:c r="Q20" s="8" t="n">
        <x:v>2.705</x:v>
      </x:c>
      <x:c r="R20" s="8" t="n">
        <x:v>2.733</x:v>
      </x:c>
      <x:c r="S20" s="8" t="n">
        <x:v>2.76</x:v>
      </x:c>
      <x:c r="T20" s="8" t="n">
        <x:v>2.788</x:v>
      </x:c>
      <x:c r="U20" s="8" t="n">
        <x:v>2.815</x:v>
      </x:c>
      <x:c r="V20" s="8" t="n">
        <x:v>2.843</x:v>
      </x:c>
      <x:c r="W20" s="8" t="n">
        <x:v>2.87</x:v>
      </x:c>
    </x:row>
    <x:row r="21" ht="21" customHeight="1">
      <x:c r="A21" s="8" t="n">
        <x:v>-20</x:v>
      </x:c>
      <x:c r="B21" s="8" t="n">
        <x:v>0.725</x:v>
      </x:c>
      <x:c r="C21" s="8" t="n">
        <x:v>2.301</x:v>
      </x:c>
      <x:c r="D21" s="8" t="n">
        <x:v>2.331</x:v>
      </x:c>
      <x:c r="E21" s="8" t="n">
        <x:v>2.36</x:v>
      </x:c>
      <x:c r="F21" s="8" t="n">
        <x:v>2.389</x:v>
      </x:c>
      <x:c r="G21" s="8" t="n">
        <x:v>2.418</x:v>
      </x:c>
      <x:c r="H21" s="8" t="n">
        <x:v>2.447</x:v>
      </x:c>
      <x:c r="I21" s="8" t="n">
        <x:v>2.476</x:v>
      </x:c>
      <x:c r="J21" s="8" t="n">
        <x:v>2.504</x:v>
      </x:c>
      <x:c r="K21" s="8" t="n">
        <x:v>2.533</x:v>
      </x:c>
      <x:c r="L21" s="8" t="n">
        <x:v>2.561</x:v>
      </x:c>
      <x:c r="M21" s="8" t="n">
        <x:v>2.589</x:v>
      </x:c>
      <x:c r="N21" s="8" t="n">
        <x:v>2.617</x:v>
      </x:c>
      <x:c r="O21" s="8" t="n">
        <x:v>2.645</x:v>
      </x:c>
      <x:c r="P21" s="8" t="n">
        <x:v>2.673</x:v>
      </x:c>
      <x:c r="Q21" s="8" t="n">
        <x:v>2.701</x:v>
      </x:c>
      <x:c r="R21" s="8" t="n">
        <x:v>2.729</x:v>
      </x:c>
      <x:c r="S21" s="8" t="n">
        <x:v>2.756</x:v>
      </x:c>
      <x:c r="T21" s="8" t="n">
        <x:v>2.784</x:v>
      </x:c>
      <x:c r="U21" s="8" t="n">
        <x:v>2.811</x:v>
      </x:c>
      <x:c r="V21" s="8" t="n">
        <x:v>2.839</x:v>
      </x:c>
      <x:c r="W21" s="8" t="n">
        <x:v>2.866</x:v>
      </x:c>
    </x:row>
    <x:row r="22" ht="21" customHeight="1">
      <x:c r="A22" s="8" t="n">
        <x:v>-15</x:v>
      </x:c>
      <x:c r="B22" s="8" t="n">
        <x:v>0.891</x:v>
      </x:c>
      <x:c r="C22" s="8" t="n">
        <x:v>2.299</x:v>
      </x:c>
      <x:c r="D22" s="8" t="n">
        <x:v>2.328</x:v>
      </x:c>
      <x:c r="E22" s="8" t="n">
        <x:v>2.358</x:v>
      </x:c>
      <x:c r="F22" s="8" t="n">
        <x:v>2.387</x:v>
      </x:c>
      <x:c r="G22" s="8" t="n">
        <x:v>2.416</x:v>
      </x:c>
      <x:c r="H22" s="8" t="n">
        <x:v>2.444</x:v>
      </x:c>
      <x:c r="I22" s="8" t="n">
        <x:v>2.473</x:v>
      </x:c>
      <x:c r="J22" s="8" t="n">
        <x:v>2.502</x:v>
      </x:c>
      <x:c r="K22" s="8" t="n">
        <x:v>2.53</x:v>
      </x:c>
      <x:c r="L22" s="8" t="n">
        <x:v>2.558</x:v>
      </x:c>
      <x:c r="M22" s="8" t="n">
        <x:v>2.586</x:v>
      </x:c>
      <x:c r="N22" s="8" t="n">
        <x:v>2.614</x:v>
      </x:c>
      <x:c r="O22" s="8" t="n">
        <x:v>2.642</x:v>
      </x:c>
      <x:c r="P22" s="8" t="n">
        <x:v>2.67</x:v>
      </x:c>
      <x:c r="Q22" s="8" t="n">
        <x:v>2.698</x:v>
      </x:c>
      <x:c r="R22" s="8" t="n">
        <x:v>2.726</x:v>
      </x:c>
      <x:c r="S22" s="8" t="n">
        <x:v>2.753</x:v>
      </x:c>
      <x:c r="T22" s="8" t="n">
        <x:v>2.781</x:v>
      </x:c>
      <x:c r="U22" s="8" t="n">
        <x:v>2.809</x:v>
      </x:c>
      <x:c r="V22" s="8" t="n">
        <x:v>2.836</x:v>
      </x:c>
      <x:c r="W22" s="8" t="n">
        <x:v>2.863</x:v>
      </x:c>
    </x:row>
    <x:row r="23" ht="21" customHeight="1">
      <x:c r="A23" s="8" t="n">
        <x:v>-11.76</x:v>
      </x:c>
      <x:c r="B23" s="8" t="n">
        <x:v>1.013</x:v>
      </x:c>
      <x:c r="C23" s="8" t="n">
        <x:v>2.298</x:v>
      </x:c>
      <x:c r="D23" s="8" t="n">
        <x:v>2.327</x:v>
      </x:c>
      <x:c r="E23" s="8" t="n">
        <x:v>2.357</x:v>
      </x:c>
      <x:c r="F23" s="8" t="n">
        <x:v>2.386</x:v>
      </x:c>
      <x:c r="G23" s="8" t="n">
        <x:v>2.415</x:v>
      </x:c>
      <x:c r="H23" s="8" t="n">
        <x:v>2.443</x:v>
      </x:c>
      <x:c r="I23" s="8" t="n">
        <x:v>2.472</x:v>
      </x:c>
      <x:c r="J23" s="8" t="n">
        <x:v>2.5</x:v>
      </x:c>
      <x:c r="K23" s="8" t="n">
        <x:v>2.529</x:v>
      </x:c>
      <x:c r="L23" s="8" t="n">
        <x:v>2.557</x:v>
      </x:c>
      <x:c r="M23" s="8" t="n">
        <x:v>2.585</x:v>
      </x:c>
      <x:c r="N23" s="8" t="n">
        <x:v>2.613</x:v>
      </x:c>
      <x:c r="O23" s="8" t="n">
        <x:v>2.641</x:v>
      </x:c>
      <x:c r="P23" s="8" t="n">
        <x:v>2.669</x:v>
      </x:c>
      <x:c r="Q23" s="8" t="n">
        <x:v>2.697</x:v>
      </x:c>
      <x:c r="R23" s="8" t="n">
        <x:v>2.725</x:v>
      </x:c>
      <x:c r="S23" s="8" t="n">
        <x:v>2.752</x:v>
      </x:c>
      <x:c r="T23" s="8" t="n">
        <x:v>2.78</x:v>
      </x:c>
      <x:c r="U23" s="8" t="n">
        <x:v>2.807</x:v>
      </x:c>
      <x:c r="V23" s="8" t="n">
        <x:v>2.835</x:v>
      </x:c>
      <x:c r="W23" s="8" t="n">
        <x:v>2.862</x:v>
      </x:c>
    </x:row>
    <x:row r="24" ht="21" customHeight="1">
      <x:c r="A24" s="8" t="n">
        <x:v>-10</x:v>
      </x:c>
      <x:c r="B24" s="8" t="n">
        <x:v>1.085</x:v>
      </x:c>
      <x:c r="C24" s="8" t="n">
        <x:v>2.297</x:v>
      </x:c>
      <x:c r="D24" s="8" t="n">
        <x:v>2.327</x:v>
      </x:c>
      <x:c r="E24" s="8" t="n">
        <x:v>2.356</x:v>
      </x:c>
      <x:c r="F24" s="8" t="n">
        <x:v>2.385</x:v>
      </x:c>
      <x:c r="G24" s="8" t="n">
        <x:v>2.414</x:v>
      </x:c>
      <x:c r="H24" s="8" t="n">
        <x:v>2.443</x:v>
      </x:c>
      <x:c r="I24" s="8" t="n">
        <x:v>2.472</x:v>
      </x:c>
      <x:c r="J24" s="8" t="n">
        <x:v>2.5</x:v>
      </x:c>
      <x:c r="K24" s="8" t="n">
        <x:v>2.528</x:v>
      </x:c>
      <x:c r="L24" s="8" t="n">
        <x:v>2.557</x:v>
      </x:c>
      <x:c r="M24" s="8" t="n">
        <x:v>2.585</x:v>
      </x:c>
      <x:c r="N24" s="8" t="n">
        <x:v>2.613</x:v>
      </x:c>
      <x:c r="O24" s="8" t="n">
        <x:v>2.641</x:v>
      </x:c>
      <x:c r="P24" s="8" t="n">
        <x:v>2.669</x:v>
      </x:c>
      <x:c r="Q24" s="8" t="n">
        <x:v>2.696</x:v>
      </x:c>
      <x:c r="R24" s="8" t="n">
        <x:v>2.724</x:v>
      </x:c>
      <x:c r="S24" s="8" t="n">
        <x:v>2.752</x:v>
      </x:c>
      <x:c r="T24" s="8" t="n">
        <x:v>2.779</x:v>
      </x:c>
      <x:c r="U24" s="8" t="n">
        <x:v>2.807</x:v>
      </x:c>
      <x:c r="V24" s="8" t="n">
        <x:v>2.834</x:v>
      </x:c>
      <x:c r="W24" s="8" t="n">
        <x:v>2.862</x:v>
      </x:c>
    </x:row>
    <x:row r="25" ht="21" customHeight="1">
      <x:c r="A25" s="8" t="n">
        <x:v>-5</x:v>
      </x:c>
      <x:c r="B25" s="8" t="n">
        <x:v>1.31</x:v>
      </x:c>
      <x:c r="C25" s="8" t="n">
        <x:v>2.297</x:v>
      </x:c>
      <x:c r="D25" s="8" t="n">
        <x:v>2.326</x:v>
      </x:c>
      <x:c r="E25" s="8" t="n">
        <x:v>2.356</x:v>
      </x:c>
      <x:c r="F25" s="8" t="n">
        <x:v>2.385</x:v>
      </x:c>
      <x:c r="G25" s="8" t="n">
        <x:v>2.414</x:v>
      </x:c>
      <x:c r="H25" s="8" t="n">
        <x:v>2.442</x:v>
      </x:c>
      <x:c r="I25" s="8" t="n">
        <x:v>2.471</x:v>
      </x:c>
      <x:c r="J25" s="8" t="n">
        <x:v>2.5</x:v>
      </x:c>
      <x:c r="K25" s="8" t="n">
        <x:v>2.528</x:v>
      </x:c>
      <x:c r="L25" s="8" t="n">
        <x:v>2.556</x:v>
      </x:c>
      <x:c r="M25" s="8" t="n">
        <x:v>2.584</x:v>
      </x:c>
      <x:c r="N25" s="8" t="n">
        <x:v>2.612</x:v>
      </x:c>
      <x:c r="O25" s="8" t="n">
        <x:v>2.64</x:v>
      </x:c>
      <x:c r="P25" s="8" t="n">
        <x:v>2.668</x:v>
      </x:c>
      <x:c r="Q25" s="8" t="n">
        <x:v>2.696</x:v>
      </x:c>
      <x:c r="R25" s="8" t="n">
        <x:v>2.724</x:v>
      </x:c>
      <x:c r="S25" s="8" t="n">
        <x:v>2.751</x:v>
      </x:c>
      <x:c r="T25" s="8" t="n">
        <x:v>2.779</x:v>
      </x:c>
      <x:c r="U25" s="8" t="n">
        <x:v>2.806</x:v>
      </x:c>
      <x:c r="V25" s="8" t="n">
        <x:v>2.834</x:v>
      </x:c>
      <x:c r="W25" s="8" t="n">
        <x:v>2.861</x:v>
      </x:c>
    </x:row>
    <x:row r="26" ht="21" customHeight="1">
      <x:c r="A26" s="8" t="n">
        <x:v>0</x:v>
      </x:c>
      <x:c r="B26" s="8" t="n">
        <x:v>1.57</x:v>
      </x:c>
      <x:c r="C26" s="8" t="n">
        <x:v>2.297</x:v>
      </x:c>
      <x:c r="D26" s="8" t="n">
        <x:v>2.327</x:v>
      </x:c>
      <x:c r="E26" s="8" t="n">
        <x:v>2.356</x:v>
      </x:c>
      <x:c r="F26" s="8" t="n">
        <x:v>2.385</x:v>
      </x:c>
      <x:c r="G26" s="8" t="n">
        <x:v>2.414</x:v>
      </x:c>
      <x:c r="H26" s="8" t="n">
        <x:v>2.443</x:v>
      </x:c>
      <x:c r="I26" s="8" t="n">
        <x:v>2.471</x:v>
      </x:c>
      <x:c r="J26" s="8" t="n">
        <x:v>2.5</x:v>
      </x:c>
      <x:c r="K26" s="8" t="n">
        <x:v>2.528</x:v>
      </x:c>
      <x:c r="L26" s="8" t="n">
        <x:v>2.557</x:v>
      </x:c>
      <x:c r="M26" s="8" t="n">
        <x:v>2.585</x:v>
      </x:c>
      <x:c r="N26" s="8" t="n">
        <x:v>2.613</x:v>
      </x:c>
      <x:c r="O26" s="8" t="n">
        <x:v>2.641</x:v>
      </x:c>
      <x:c r="P26" s="8" t="n">
        <x:v>2.669</x:v>
      </x:c>
      <x:c r="Q26" s="8" t="n">
        <x:v>2.696</x:v>
      </x:c>
      <x:c r="R26" s="8" t="n">
        <x:v>2.724</x:v>
      </x:c>
      <x:c r="S26" s="8" t="n">
        <x:v>2.752</x:v>
      </x:c>
      <x:c r="T26" s="8" t="n">
        <x:v>2.779</x:v>
      </x:c>
      <x:c r="U26" s="8" t="n">
        <x:v>2.807</x:v>
      </x:c>
      <x:c r="V26" s="8" t="n">
        <x:v>2.834</x:v>
      </x:c>
      <x:c r="W26" s="8" t="n">
        <x:v>2.861</x:v>
      </x:c>
    </x:row>
    <x:row r="27" ht="21" customHeight="1">
      <x:c r="A27" s="8" t="n">
        <x:v>5</x:v>
      </x:c>
      <x:c r="B27" s="8" t="n">
        <x:v>1.867</x:v>
      </x:c>
      <x:c r="C27" s="8" t="n">
        <x:v>2.298</x:v>
      </x:c>
      <x:c r="D27" s="8" t="n">
        <x:v>2.328</x:v>
      </x:c>
      <x:c r="E27" s="8" t="n">
        <x:v>2.357</x:v>
      </x:c>
      <x:c r="F27" s="8" t="n">
        <x:v>2.386</x:v>
      </x:c>
      <x:c r="G27" s="8" t="n">
        <x:v>2.415</x:v>
      </x:c>
      <x:c r="H27" s="8" t="n">
        <x:v>2.444</x:v>
      </x:c>
      <x:c r="I27" s="8" t="n">
        <x:v>2.473</x:v>
      </x:c>
      <x:c r="J27" s="8" t="n">
        <x:v>2.501</x:v>
      </x:c>
      <x:c r="K27" s="8" t="n">
        <x:v>2.53</x:v>
      </x:c>
      <x:c r="L27" s="8" t="n">
        <x:v>2.558</x:v>
      </x:c>
      <x:c r="M27" s="8" t="n">
        <x:v>2.586</x:v>
      </x:c>
      <x:c r="N27" s="8" t="n">
        <x:v>2.614</x:v>
      </x:c>
      <x:c r="O27" s="8" t="n">
        <x:v>2.642</x:v>
      </x:c>
      <x:c r="P27" s="8" t="n">
        <x:v>2.67</x:v>
      </x:c>
      <x:c r="Q27" s="8" t="n">
        <x:v>2.698</x:v>
      </x:c>
      <x:c r="R27" s="8" t="n">
        <x:v>2.725</x:v>
      </x:c>
      <x:c r="S27" s="8" t="n">
        <x:v>2.753</x:v>
      </x:c>
      <x:c r="T27" s="8" t="n">
        <x:v>2.78</x:v>
      </x:c>
      <x:c r="U27" s="8" t="n">
        <x:v>2.808</x:v>
      </x:c>
      <x:c r="V27" s="8" t="n">
        <x:v>2.835</x:v>
      </x:c>
      <x:c r="W27" s="8" t="n">
        <x:v>2.863</x:v>
      </x:c>
    </x:row>
    <x:row r="28" ht="21" customHeight="1">
      <x:c r="A28" s="8" t="n">
        <x:v>10</x:v>
      </x:c>
      <x:c r="B28" s="8" t="n">
        <x:v>2.206</x:v>
      </x:c>
      <x:c r="C28" s="8" t="n">
        <x:v>2.3</x:v>
      </x:c>
      <x:c r="D28" s="8" t="n">
        <x:v>2.33</x:v>
      </x:c>
      <x:c r="E28" s="8" t="n">
        <x:v>2.359</x:v>
      </x:c>
      <x:c r="F28" s="8" t="n">
        <x:v>2.388</x:v>
      </x:c>
      <x:c r="G28" s="8" t="n">
        <x:v>2.417</x:v>
      </x:c>
      <x:c r="H28" s="8" t="n">
        <x:v>2.446</x:v>
      </x:c>
      <x:c r="I28" s="8" t="n">
        <x:v>2.475</x:v>
      </x:c>
      <x:c r="J28" s="8" t="n">
        <x:v>2.503</x:v>
      </x:c>
      <x:c r="K28" s="8" t="n">
        <x:v>2.532</x:v>
      </x:c>
      <x:c r="L28" s="8" t="n">
        <x:v>2.56</x:v>
      </x:c>
      <x:c r="M28" s="8" t="n">
        <x:v>2.588</x:v>
      </x:c>
      <x:c r="N28" s="8" t="n">
        <x:v>2.616</x:v>
      </x:c>
      <x:c r="O28" s="8" t="n">
        <x:v>2.644</x:v>
      </x:c>
      <x:c r="P28" s="8" t="n">
        <x:v>2.672</x:v>
      </x:c>
      <x:c r="Q28" s="8" t="n">
        <x:v>2.7</x:v>
      </x:c>
      <x:c r="R28" s="8" t="n">
        <x:v>2.727</x:v>
      </x:c>
      <x:c r="S28" s="8" t="n">
        <x:v>2.755</x:v>
      </x:c>
      <x:c r="T28" s="8" t="n">
        <x:v>2.783</x:v>
      </x:c>
      <x:c r="U28" s="8" t="n">
        <x:v>2.81</x:v>
      </x:c>
      <x:c r="V28" s="8" t="n">
        <x:v>2.837</x:v>
      </x:c>
      <x:c r="W28" s="8" t="n">
        <x:v>2.865</x:v>
      </x:c>
    </x:row>
    <x:row r="29" ht="21" customHeight="1">
      <x:c r="A29" s="8" t="n">
        <x:v>15</x:v>
      </x:c>
      <x:c r="B29" s="8" t="n">
        <x:v>2.59</x:v>
      </x:c>
      <x:c r="C29" s="8" t="n">
        <x:v>2.302</x:v>
      </x:c>
      <x:c r="D29" s="8" t="n">
        <x:v>2.332</x:v>
      </x:c>
      <x:c r="E29" s="8" t="n">
        <x:v>2.361</x:v>
      </x:c>
      <x:c r="F29" s="8" t="n">
        <x:v>2.391</x:v>
      </x:c>
      <x:c r="G29" s="8" t="n">
        <x:v>2.42</x:v>
      </x:c>
      <x:c r="H29" s="8" t="n">
        <x:v>2.449</x:v>
      </x:c>
      <x:c r="I29" s="8" t="n">
        <x:v>2.477</x:v>
      </x:c>
      <x:c r="J29" s="8" t="n">
        <x:v>2.506</x:v>
      </x:c>
      <x:c r="K29" s="8" t="n">
        <x:v>2.534</x:v>
      </x:c>
      <x:c r="L29" s="8" t="n">
        <x:v>2.563</x:v>
      </x:c>
      <x:c r="M29" s="8" t="n">
        <x:v>2.591</x:v>
      </x:c>
      <x:c r="N29" s="8" t="n">
        <x:v>2.619</x:v>
      </x:c>
      <x:c r="O29" s="8" t="n">
        <x:v>2.647</x:v>
      </x:c>
      <x:c r="P29" s="8" t="n">
        <x:v>2.675</x:v>
      </x:c>
      <x:c r="Q29" s="8" t="n">
        <x:v>2.703</x:v>
      </x:c>
      <x:c r="R29" s="8" t="n">
        <x:v>2.73</x:v>
      </x:c>
      <x:c r="S29" s="8" t="n">
        <x:v>2.758</x:v>
      </x:c>
      <x:c r="T29" s="8" t="n">
        <x:v>2.785</x:v>
      </x:c>
      <x:c r="U29" s="8" t="n">
        <x:v>2.813</x:v>
      </x:c>
      <x:c r="V29" s="8" t="n">
        <x:v>2.84</x:v>
      </x:c>
      <x:c r="W29" s="8" t="n">
        <x:v>2.868</x:v>
      </x:c>
    </x:row>
    <x:row r="30" ht="21" customHeight="1">
      <x:c r="A30" s="8" t="n">
        <x:v>20</x:v>
      </x:c>
      <x:c r="B30" s="8" t="n">
        <x:v>3.022</x:v>
      </x:c>
      <x:c r="C30" s="8" t="n">
        <x:v>2.305</x:v>
      </x:c>
      <x:c r="D30" s="8" t="n">
        <x:v>2.335</x:v>
      </x:c>
      <x:c r="E30" s="8" t="n">
        <x:v>2.365</x:v>
      </x:c>
      <x:c r="F30" s="8" t="n">
        <x:v>2.394</x:v>
      </x:c>
      <x:c r="G30" s="8" t="n">
        <x:v>2.423</x:v>
      </x:c>
      <x:c r="H30" s="8" t="n">
        <x:v>2.452</x:v>
      </x:c>
      <x:c r="I30" s="8" t="n">
        <x:v>2.481</x:v>
      </x:c>
      <x:c r="J30" s="8" t="n">
        <x:v>2.509</x:v>
      </x:c>
      <x:c r="K30" s="8" t="n">
        <x:v>2.538</x:v>
      </x:c>
      <x:c r="L30" s="8" t="n">
        <x:v>2.566</x:v>
      </x:c>
      <x:c r="M30" s="8" t="n">
        <x:v>2.594</x:v>
      </x:c>
      <x:c r="N30" s="8" t="n">
        <x:v>2.622</x:v>
      </x:c>
      <x:c r="O30" s="8" t="n">
        <x:v>2.65</x:v>
      </x:c>
      <x:c r="P30" s="8" t="n">
        <x:v>2.678</x:v>
      </x:c>
      <x:c r="Q30" s="8" t="n">
        <x:v>2.706</x:v>
      </x:c>
      <x:c r="R30" s="8" t="n">
        <x:v>2.734</x:v>
      </x:c>
      <x:c r="S30" s="8" t="n">
        <x:v>2.761</x:v>
      </x:c>
      <x:c r="T30" s="8" t="n">
        <x:v>2.789</x:v>
      </x:c>
      <x:c r="U30" s="8" t="n">
        <x:v>2.816</x:v>
      </x:c>
      <x:c r="V30" s="8" t="n">
        <x:v>2.844</x:v>
      </x:c>
      <x:c r="W30" s="8" t="n">
        <x:v>2.871</x:v>
      </x:c>
    </x:row>
    <x:row r="31" ht="21" customHeight="1">
      <x:c r="A31" s="8" t="n">
        <x:v>25</x:v>
      </x:c>
      <x:c r="B31" s="8" t="n">
        <x:v>3.507</x:v>
      </x:c>
      <x:c r="C31" s="8" t="n">
        <x:v>2.309</x:v>
      </x:c>
      <x:c r="D31" s="8" t="n">
        <x:v>2.338</x:v>
      </x:c>
      <x:c r="E31" s="8" t="n">
        <x:v>2.368</x:v>
      </x:c>
      <x:c r="F31" s="8" t="n">
        <x:v>2.398</x:v>
      </x:c>
      <x:c r="G31" s="8" t="n">
        <x:v>2.427</x:v>
      </x:c>
      <x:c r="H31" s="8" t="n">
        <x:v>2.456</x:v>
      </x:c>
      <x:c r="I31" s="8" t="n">
        <x:v>2.485</x:v>
      </x:c>
      <x:c r="J31" s="8" t="n">
        <x:v>2.513</x:v>
      </x:c>
      <x:c r="K31" s="8" t="n">
        <x:v>2.542</x:v>
      </x:c>
      <x:c r="L31" s="8" t="n">
        <x:v>2.57</x:v>
      </x:c>
      <x:c r="M31" s="8" t="n">
        <x:v>2.599</x:v>
      </x:c>
      <x:c r="N31" s="8" t="n">
        <x:v>2.627</x:v>
      </x:c>
      <x:c r="O31" s="8" t="n">
        <x:v>2.655</x:v>
      </x:c>
      <x:c r="P31" s="8" t="n">
        <x:v>2.683</x:v>
      </x:c>
      <x:c r="Q31" s="8" t="n">
        <x:v>2.71</x:v>
      </x:c>
      <x:c r="R31" s="8" t="n">
        <x:v>2.738</x:v>
      </x:c>
      <x:c r="S31" s="8" t="n">
        <x:v>2.766</x:v>
      </x:c>
      <x:c r="T31" s="8" t="n">
        <x:v>2.793</x:v>
      </x:c>
      <x:c r="U31" s="8" t="n">
        <x:v>2.821</x:v>
      </x:c>
      <x:c r="V31" s="8" t="n">
        <x:v>2.848</x:v>
      </x:c>
      <x:c r="W31" s="8" t="n">
        <x:v>2.875</x:v>
      </x:c>
    </x:row>
    <x:row r="32" ht="21" customHeight="1">
      <x:c r="A32" s="8" t="n">
        <x:v>30</x:v>
      </x:c>
      <x:c r="B32" s="8" t="n">
        <x:v>4.047</x:v>
      </x:c>
      <x:c r="C32" s="8" t="n">
        <x:v>2.312</x:v>
      </x:c>
      <x:c r="D32" s="8" t="n">
        <x:v>2.342</x:v>
      </x:c>
      <x:c r="E32" s="8" t="n">
        <x:v>2.372</x:v>
      </x:c>
      <x:c r="F32" s="8" t="n">
        <x:v>2.402</x:v>
      </x:c>
      <x:c r="G32" s="8" t="n">
        <x:v>2.431</x:v>
      </x:c>
      <x:c r="H32" s="8" t="n">
        <x:v>2.46</x:v>
      </x:c>
      <x:c r="I32" s="8" t="n">
        <x:v>2.489</x:v>
      </x:c>
      <x:c r="J32" s="8" t="n">
        <x:v>2.518</x:v>
      </x:c>
      <x:c r="K32" s="8" t="n">
        <x:v>2.546</x:v>
      </x:c>
      <x:c r="L32" s="8" t="n">
        <x:v>2.575</x:v>
      </x:c>
      <x:c r="M32" s="8" t="n">
        <x:v>2.603</x:v>
      </x:c>
      <x:c r="N32" s="8" t="n">
        <x:v>2.631</x:v>
      </x:c>
      <x:c r="O32" s="8" t="n">
        <x:v>2.659</x:v>
      </x:c>
      <x:c r="P32" s="8" t="n">
        <x:v>2.687</x:v>
      </x:c>
      <x:c r="Q32" s="8" t="n">
        <x:v>2.715</x:v>
      </x:c>
      <x:c r="R32" s="8" t="n">
        <x:v>2.743</x:v>
      </x:c>
      <x:c r="S32" s="8" t="n">
        <x:v>2.771</x:v>
      </x:c>
      <x:c r="T32" s="8" t="n">
        <x:v>2.798</x:v>
      </x:c>
      <x:c r="U32" s="8" t="n">
        <x:v>2.826</x:v>
      </x:c>
      <x:c r="V32" s="8" t="n">
        <x:v>2.853</x:v>
      </x:c>
      <x:c r="W32" s="8" t="n">
        <x:v>2.88</x:v>
      </x:c>
    </x:row>
    <x:row r="33" ht="21" customHeight="1">
      <x:c r="A33" s="8" t="n">
        <x:v>35</x:v>
      </x:c>
      <x:c r="B33" s="8" t="n">
        <x:v>4.648</x:v>
      </x:c>
      <x:c r="C33" s="8" t="n">
        <x:v>2.317</x:v>
      </x:c>
      <x:c r="D33" s="8" t="n">
        <x:v>2.347</x:v>
      </x:c>
      <x:c r="E33" s="8" t="n">
        <x:v>2.377</x:v>
      </x:c>
      <x:c r="F33" s="8" t="n">
        <x:v>2.406</x:v>
      </x:c>
      <x:c r="G33" s="8" t="n">
        <x:v>2.436</x:v>
      </x:c>
      <x:c r="H33" s="8" t="n">
        <x:v>2.465</x:v>
      </x:c>
      <x:c r="I33" s="8" t="n">
        <x:v>2.494</x:v>
      </x:c>
      <x:c r="J33" s="8" t="n">
        <x:v>2.523</x:v>
      </x:c>
      <x:c r="K33" s="8" t="n">
        <x:v>2.552</x:v>
      </x:c>
      <x:c r="L33" s="8" t="n">
        <x:v>2.58</x:v>
      </x:c>
      <x:c r="M33" s="8" t="n">
        <x:v>2.608</x:v>
      </x:c>
      <x:c r="N33" s="8" t="n">
        <x:v>2.637</x:v>
      </x:c>
      <x:c r="O33" s="8" t="n">
        <x:v>2.665</x:v>
      </x:c>
      <x:c r="P33" s="8" t="n">
        <x:v>2.693</x:v>
      </x:c>
      <x:c r="Q33" s="8" t="n">
        <x:v>2.721</x:v>
      </x:c>
      <x:c r="R33" s="8" t="n">
        <x:v>2.748</x:v>
      </x:c>
      <x:c r="S33" s="8" t="n">
        <x:v>2.776</x:v>
      </x:c>
      <x:c r="T33" s="8" t="n">
        <x:v>2.804</x:v>
      </x:c>
      <x:c r="U33" s="8" t="n">
        <x:v>2.831</x:v>
      </x:c>
      <x:c r="V33" s="8" t="n">
        <x:v>2.858</x:v>
      </x:c>
      <x:c r="W33" s="8" t="n">
        <x:v>2.886</x:v>
      </x:c>
    </x:row>
    <x:row r="34" ht="21" customHeight="1">
      <x:c r="A34" s="8" t="n">
        <x:v>40</x:v>
      </x:c>
      <x:c r="B34" s="8" t="n">
        <x:v>5.312</x:v>
      </x:c>
      <x:c r="C34" s="8" t="n">
        <x:v>2.321</x:v>
      </x:c>
      <x:c r="D34" s="8" t="n">
        <x:v>2.352</x:v>
      </x:c>
      <x:c r="E34" s="8" t="n">
        <x:v>2.382</x:v>
      </x:c>
      <x:c r="F34" s="8" t="n">
        <x:v>2.412</x:v>
      </x:c>
      <x:c r="G34" s="8" t="n">
        <x:v>2.441</x:v>
      </x:c>
      <x:c r="H34" s="8" t="n">
        <x:v>2.47</x:v>
      </x:c>
      <x:c r="I34" s="8" t="n">
        <x:v>2.5</x:v>
      </x:c>
      <x:c r="J34" s="8" t="n">
        <x:v>2.528</x:v>
      </x:c>
      <x:c r="K34" s="8" t="n">
        <x:v>2.557</x:v>
      </x:c>
      <x:c r="L34" s="8" t="n">
        <x:v>2.586</x:v>
      </x:c>
      <x:c r="M34" s="8" t="n">
        <x:v>2.614</x:v>
      </x:c>
      <x:c r="N34" s="8" t="n">
        <x:v>2.642</x:v>
      </x:c>
      <x:c r="O34" s="8" t="n">
        <x:v>2.671</x:v>
      </x:c>
      <x:c r="P34" s="8" t="n">
        <x:v>2.699</x:v>
      </x:c>
      <x:c r="Q34" s="8" t="n">
        <x:v>2.726</x:v>
      </x:c>
      <x:c r="R34" s="8" t="n">
        <x:v>2.754</x:v>
      </x:c>
      <x:c r="S34" s="8" t="n">
        <x:v>2.782</x:v>
      </x:c>
      <x:c r="T34" s="8" t="n">
        <x:v>2.809</x:v>
      </x:c>
      <x:c r="U34" s="8" t="n">
        <x:v>2.837</x:v>
      </x:c>
      <x:c r="V34" s="8" t="n">
        <x:v>2.864</x:v>
      </x:c>
      <x:c r="W34" s="8" t="n">
        <x:v>2.892</x:v>
      </x:c>
    </x:row>
    <x:row r="35" ht="21" customHeight="1">
      <x:c r="A35" s="8" t="n">
        <x:v>45</x:v>
      </x:c>
      <x:c r="B35" s="8" t="n">
        <x:v>6.044</x:v>
      </x:c>
      <x:c r="C35" s="8" t="n">
        <x:v>2.326</x:v>
      </x:c>
      <x:c r="D35" s="8" t="n">
        <x:v>2.357</x:v>
      </x:c>
      <x:c r="E35" s="8" t="n">
        <x:v>2.387</x:v>
      </x:c>
      <x:c r="F35" s="8" t="n">
        <x:v>2.417</x:v>
      </x:c>
      <x:c r="G35" s="8" t="n">
        <x:v>2.447</x:v>
      </x:c>
      <x:c r="H35" s="8" t="n">
        <x:v>2.476</x:v>
      </x:c>
      <x:c r="I35" s="8" t="n">
        <x:v>2.505</x:v>
      </x:c>
      <x:c r="J35" s="8" t="n">
        <x:v>2.534</x:v>
      </x:c>
      <x:c r="K35" s="8" t="n">
        <x:v>2.563</x:v>
      </x:c>
      <x:c r="L35" s="8" t="n">
        <x:v>2.592</x:v>
      </x:c>
      <x:c r="M35" s="8" t="n">
        <x:v>2.62</x:v>
      </x:c>
      <x:c r="N35" s="8" t="n">
        <x:v>2.649</x:v>
      </x:c>
      <x:c r="O35" s="8" t="n">
        <x:v>2.677</x:v>
      </x:c>
      <x:c r="P35" s="8" t="n">
        <x:v>2.705</x:v>
      </x:c>
      <x:c r="Q35" s="8" t="n">
        <x:v>2.733</x:v>
      </x:c>
      <x:c r="R35" s="8" t="n">
        <x:v>2.761</x:v>
      </x:c>
      <x:c r="S35" s="8" t="n">
        <x:v>2.788</x:v>
      </x:c>
      <x:c r="T35" s="8" t="n">
        <x:v>2.816</x:v>
      </x:c>
      <x:c r="U35" s="8" t="n">
        <x:v>2.843</x:v>
      </x:c>
      <x:c r="V35" s="8" t="n">
        <x:v>2.871</x:v>
      </x:c>
      <x:c r="W35" s="8" t="n">
        <x:v>2.898</x:v>
      </x:c>
    </x:row>
    <x:row r="36" ht="21" customHeight="1">
      <x:c r="A36" s="8" t="n">
        <x:v>50</x:v>
      </x:c>
      <x:c r="B36" s="8" t="n">
        <x:v>6.849</x:v>
      </x:c>
      <x:c r="C36" s="8" t="n">
        <x:v>2.331</x:v>
      </x:c>
      <x:c r="D36" s="8" t="n">
        <x:v>2.362</x:v>
      </x:c>
      <x:c r="E36" s="8" t="n">
        <x:v>2.392</x:v>
      </x:c>
      <x:c r="F36" s="8" t="n">
        <x:v>2.423</x:v>
      </x:c>
      <x:c r="G36" s="8" t="n">
        <x:v>2.453</x:v>
      </x:c>
      <x:c r="H36" s="8" t="n">
        <x:v>2.482</x:v>
      </x:c>
      <x:c r="I36" s="8" t="n">
        <x:v>2.511</x:v>
      </x:c>
      <x:c r="J36" s="8" t="n">
        <x:v>2.541</x:v>
      </x:c>
      <x:c r="K36" s="8" t="n">
        <x:v>2.569</x:v>
      </x:c>
      <x:c r="L36" s="8" t="n">
        <x:v>2.598</x:v>
      </x:c>
      <x:c r="M36" s="8" t="n">
        <x:v>2.627</x:v>
      </x:c>
      <x:c r="N36" s="8" t="n">
        <x:v>2.655</x:v>
      </x:c>
      <x:c r="O36" s="8" t="n">
        <x:v>2.683</x:v>
      </x:c>
      <x:c r="P36" s="8" t="n">
        <x:v>2.712</x:v>
      </x:c>
      <x:c r="Q36" s="8" t="n">
        <x:v>2.74</x:v>
      </x:c>
      <x:c r="R36" s="8" t="n">
        <x:v>2.767</x:v>
      </x:c>
      <x:c r="S36" s="8" t="n">
        <x:v>2.795</x:v>
      </x:c>
      <x:c r="T36" s="8" t="n">
        <x:v>2.823</x:v>
      </x:c>
      <x:c r="U36" s="8" t="n">
        <x:v>2.85</x:v>
      </x:c>
      <x:c r="V36" s="8" t="n">
        <x:v>2.878</x:v>
      </x:c>
      <x:c r="W36" s="8" t="n">
        <x:v>2.905</x:v>
      </x:c>
    </x:row>
    <x:row r="37" ht="21" customHeight="1">
      <x:c r="A37" s="8" t="n">
        <x:v>55</x:v>
      </x:c>
      <x:c r="B37" s="8" t="n">
        <x:v>7.73</x:v>
      </x:c>
      <x:c r="C37" s="8" t="n">
        <x:v>2.336</x:v>
      </x:c>
      <x:c r="D37" s="8" t="n">
        <x:v>2.367</x:v>
      </x:c>
      <x:c r="E37" s="8" t="n">
        <x:v>2.398</x:v>
      </x:c>
      <x:c r="F37" s="8" t="n">
        <x:v>2.429</x:v>
      </x:c>
      <x:c r="G37" s="8" t="n">
        <x:v>2.459</x:v>
      </x:c>
      <x:c r="H37" s="8" t="n">
        <x:v>2.488</x:v>
      </x:c>
      <x:c r="I37" s="8" t="n">
        <x:v>2.518</x:v>
      </x:c>
      <x:c r="J37" s="8" t="n">
        <x:v>2.547</x:v>
      </x:c>
      <x:c r="K37" s="8" t="n">
        <x:v>2.576</x:v>
      </x:c>
      <x:c r="L37" s="8" t="n">
        <x:v>2.605</x:v>
      </x:c>
      <x:c r="M37" s="8" t="n">
        <x:v>2.634</x:v>
      </x:c>
      <x:c r="N37" s="8" t="n">
        <x:v>2.662</x:v>
      </x:c>
      <x:c r="O37" s="8" t="n">
        <x:v>2.69</x:v>
      </x:c>
      <x:c r="P37" s="8" t="n">
        <x:v>2.719</x:v>
      </x:c>
      <x:c r="Q37" s="8" t="n">
        <x:v>2.747</x:v>
      </x:c>
      <x:c r="R37" s="8" t="n">
        <x:v>2.775</x:v>
      </x:c>
      <x:c r="S37" s="8" t="n">
        <x:v>2.802</x:v>
      </x:c>
      <x:c r="T37" s="8" t="n">
        <x:v>2.83</x:v>
      </x:c>
      <x:c r="U37" s="8" t="n">
        <x:v>2.858</x:v>
      </x:c>
      <x:c r="V37" s="8" t="n">
        <x:v>2.885</x:v>
      </x:c>
      <x:c r="W37" s="8" t="n">
        <x:v>2.912</x:v>
      </x:c>
    </x:row>
    <x:row r="38" ht="21" customHeight="1">
      <x:c r="A38" s="8" t="n">
        <x:v>60</x:v>
      </x:c>
      <x:c r="B38" s="8" t="n">
        <x:v>8.692</x:v>
      </x:c>
      <x:c r="C38" s="8" t="n">
        <x:v>2.341</x:v>
      </x:c>
      <x:c r="D38" s="8" t="n">
        <x:v>2.373</x:v>
      </x:c>
      <x:c r="E38" s="8" t="n">
        <x:v>2.404</x:v>
      </x:c>
      <x:c r="F38" s="8" t="n">
        <x:v>2.435</x:v>
      </x:c>
      <x:c r="G38" s="8" t="n">
        <x:v>2.465</x:v>
      </x:c>
      <x:c r="H38" s="8" t="n">
        <x:v>2.495</x:v>
      </x:c>
      <x:c r="I38" s="8" t="n">
        <x:v>2.525</x:v>
      </x:c>
      <x:c r="J38" s="8" t="n">
        <x:v>2.554</x:v>
      </x:c>
      <x:c r="K38" s="8" t="n">
        <x:v>2.583</x:v>
      </x:c>
      <x:c r="L38" s="8" t="n">
        <x:v>2.612</x:v>
      </x:c>
      <x:c r="M38" s="8" t="n">
        <x:v>2.641</x:v>
      </x:c>
      <x:c r="N38" s="8" t="n">
        <x:v>2.669</x:v>
      </x:c>
      <x:c r="O38" s="8" t="n">
        <x:v>2.698</x:v>
      </x:c>
      <x:c r="P38" s="8" t="n">
        <x:v>2.726</x:v>
      </x:c>
      <x:c r="Q38" s="8" t="n">
        <x:v>2.754</x:v>
      </x:c>
      <x:c r="R38" s="8" t="n">
        <x:v>2.782</x:v>
      </x:c>
      <x:c r="S38" s="8" t="n">
        <x:v>2.81</x:v>
      </x:c>
      <x:c r="T38" s="8" t="n">
        <x:v>2.838</x:v>
      </x:c>
      <x:c r="U38" s="8" t="n">
        <x:v>2.865</x:v>
      </x:c>
      <x:c r="V38" s="8" t="n">
        <x:v>2.893</x:v>
      </x:c>
      <x:c r="W38" s="8" t="n">
        <x:v>2.92</x:v>
      </x:c>
    </x:row>
    <x:row r="39" ht="21" customHeight="1">
      <x:c r="A39" s="8" t="n">
        <x:v>65</x:v>
      </x:c>
      <x:c r="B39" s="8" t="n">
        <x:v>9.739</x:v>
      </x:c>
      <x:c r="C39" s="8" t="n">
        <x:v>2.347</x:v>
      </x:c>
      <x:c r="D39" s="8" t="n">
        <x:v>2.379</x:v>
      </x:c>
      <x:c r="E39" s="8" t="n">
        <x:v>2.41</x:v>
      </x:c>
      <x:c r="F39" s="8" t="n">
        <x:v>2.441</x:v>
      </x:c>
      <x:c r="G39" s="8" t="n">
        <x:v>2.472</x:v>
      </x:c>
      <x:c r="H39" s="8" t="n">
        <x:v>2.502</x:v>
      </x:c>
      <x:c r="I39" s="8" t="n">
        <x:v>2.532</x:v>
      </x:c>
      <x:c r="J39" s="8" t="n">
        <x:v>2.561</x:v>
      </x:c>
      <x:c r="K39" s="8" t="n">
        <x:v>2.59</x:v>
      </x:c>
      <x:c r="L39" s="8" t="n">
        <x:v>2.619</x:v>
      </x:c>
      <x:c r="M39" s="8" t="n">
        <x:v>2.648</x:v>
      </x:c>
      <x:c r="N39" s="8" t="n">
        <x:v>2.677</x:v>
      </x:c>
      <x:c r="O39" s="8" t="n">
        <x:v>2.705</x:v>
      </x:c>
      <x:c r="P39" s="8" t="n">
        <x:v>2.734</x:v>
      </x:c>
      <x:c r="Q39" s="8" t="n">
        <x:v>2.762</x:v>
      </x:c>
      <x:c r="R39" s="8" t="n">
        <x:v>2.79</x:v>
      </x:c>
      <x:c r="S39" s="8" t="n">
        <x:v>2.818</x:v>
      </x:c>
      <x:c r="T39" s="8" t="n">
        <x:v>2.846</x:v>
      </x:c>
      <x:c r="U39" s="8" t="n">
        <x:v>2.873</x:v>
      </x:c>
      <x:c r="V39" s="8" t="n">
        <x:v>2.901</x:v>
      </x:c>
      <x:c r="W39" s="8" t="n">
        <x:v>2.928</x:v>
      </x:c>
    </x:row>
    <x:row r="40" ht="21" customHeight="1">
      <x:c r="A40" s="8" t="n">
        <x:v>70</x:v>
      </x:c>
      <x:c r="B40" s="8" t="n">
        <x:v>10.875</x:v>
      </x:c>
      <x:c r="C40" s="8" t="n">
        <x:v>2.352</x:v>
      </x:c>
      <x:c r="D40" s="8" t="n">
        <x:v>2.384</x:v>
      </x:c>
      <x:c r="E40" s="8" t="n">
        <x:v>2.416</x:v>
      </x:c>
      <x:c r="F40" s="8" t="n">
        <x:v>2.448</x:v>
      </x:c>
      <x:c r="G40" s="8" t="n">
        <x:v>2.478</x:v>
      </x:c>
      <x:c r="H40" s="8" t="n">
        <x:v>2.509</x:v>
      </x:c>
      <x:c r="I40" s="8" t="n">
        <x:v>2.539</x:v>
      </x:c>
      <x:c r="J40" s="8" t="n">
        <x:v>2.568</x:v>
      </x:c>
      <x:c r="K40" s="8" t="n">
        <x:v>2.598</x:v>
      </x:c>
      <x:c r="L40" s="8" t="n">
        <x:v>2.627</x:v>
      </x:c>
      <x:c r="M40" s="8" t="n">
        <x:v>2.656</x:v>
      </x:c>
      <x:c r="N40" s="8" t="n">
        <x:v>2.685</x:v>
      </x:c>
      <x:c r="O40" s="8" t="n">
        <x:v>2.713</x:v>
      </x:c>
      <x:c r="P40" s="8" t="n">
        <x:v>2.742</x:v>
      </x:c>
      <x:c r="Q40" s="8" t="n">
        <x:v>2.77</x:v>
      </x:c>
      <x:c r="R40" s="8" t="n">
        <x:v>2.798</x:v>
      </x:c>
      <x:c r="S40" s="8" t="n">
        <x:v>2.826</x:v>
      </x:c>
      <x:c r="T40" s="8" t="n">
        <x:v>2.854</x:v>
      </x:c>
      <x:c r="U40" s="8" t="n">
        <x:v>2.881</x:v>
      </x:c>
      <x:c r="V40" s="8" t="n">
        <x:v>2.909</x:v>
      </x:c>
      <x:c r="W40" s="8" t="n">
        <x:v>2.936</x:v>
      </x:c>
    </x:row>
    <x:row r="41" ht="21" customHeight="1">
      <x:c r="A41" s="8" t="n">
        <x:v>75</x:v>
      </x:c>
      <x:c r="B41" s="8" t="n">
        <x:v>12.107</x:v>
      </x:c>
      <x:c r="C41" s="8" t="n">
        <x:v>2.357</x:v>
      </x:c>
      <x:c r="D41" s="8" t="n">
        <x:v>2.39</x:v>
      </x:c>
      <x:c r="E41" s="8" t="n">
        <x:v>2.422</x:v>
      </x:c>
      <x:c r="F41" s="8" t="n">
        <x:v>2.454</x:v>
      </x:c>
      <x:c r="G41" s="8" t="n">
        <x:v>2.485</x:v>
      </x:c>
      <x:c r="H41" s="8" t="n">
        <x:v>2.516</x:v>
      </x:c>
      <x:c r="I41" s="8" t="n">
        <x:v>2.546</x:v>
      </x:c>
      <x:c r="J41" s="8" t="n">
        <x:v>2.576</x:v>
      </x:c>
      <x:c r="K41" s="8" t="n">
        <x:v>2.606</x:v>
      </x:c>
      <x:c r="L41" s="8" t="n">
        <x:v>2.635</x:v>
      </x:c>
      <x:c r="M41" s="8" t="n">
        <x:v>2.664</x:v>
      </x:c>
      <x:c r="N41" s="8" t="n">
        <x:v>2.693</x:v>
      </x:c>
      <x:c r="O41" s="8" t="n">
        <x:v>2.722</x:v>
      </x:c>
      <x:c r="P41" s="8" t="n">
        <x:v>2.75</x:v>
      </x:c>
      <x:c r="Q41" s="8" t="n">
        <x:v>2.778</x:v>
      </x:c>
      <x:c r="R41" s="8" t="n">
        <x:v>2.806</x:v>
      </x:c>
      <x:c r="S41" s="8" t="n">
        <x:v>2.834</x:v>
      </x:c>
      <x:c r="T41" s="8" t="n">
        <x:v>2.862</x:v>
      </x:c>
      <x:c r="U41" s="8" t="n">
        <x:v>2.89</x:v>
      </x:c>
      <x:c r="V41" s="8" t="n">
        <x:v>2.918</x:v>
      </x:c>
      <x:c r="W41" s="8" t="n">
        <x:v>2.945</x:v>
      </x:c>
    </x:row>
    <x:row r="42" ht="21" customHeight="1">
      <x:c r="A42" s="8" t="n">
        <x:v>80</x:v>
      </x:c>
      <x:c r="B42" s="8" t="n">
        <x:v>13.438</x:v>
      </x:c>
      <x:c r="C42" s="8" t="n">
        <x:v>2.362</x:v>
      </x:c>
      <x:c r="D42" s="8" t="n">
        <x:v>2.396</x:v>
      </x:c>
      <x:c r="E42" s="8" t="n">
        <x:v>2.428</x:v>
      </x:c>
      <x:c r="F42" s="8" t="n">
        <x:v>2.461</x:v>
      </x:c>
      <x:c r="G42" s="8" t="n">
        <x:v>2.492</x:v>
      </x:c>
      <x:c r="H42" s="8" t="n">
        <x:v>2.523</x:v>
      </x:c>
      <x:c r="I42" s="8" t="n">
        <x:v>2.553</x:v>
      </x:c>
      <x:c r="J42" s="8" t="n">
        <x:v>2.584</x:v>
      </x:c>
      <x:c r="K42" s="8" t="n">
        <x:v>2.613</x:v>
      </x:c>
      <x:c r="L42" s="8" t="n">
        <x:v>2.643</x:v>
      </x:c>
      <x:c r="M42" s="8" t="n">
        <x:v>2.672</x:v>
      </x:c>
      <x:c r="N42" s="8" t="n">
        <x:v>2.701</x:v>
      </x:c>
      <x:c r="O42" s="8" t="n">
        <x:v>2.73</x:v>
      </x:c>
      <x:c r="P42" s="8" t="n">
        <x:v>2.758</x:v>
      </x:c>
      <x:c r="Q42" s="8" t="n">
        <x:v>2.787</x:v>
      </x:c>
      <x:c r="R42" s="8" t="n">
        <x:v>2.815</x:v>
      </x:c>
      <x:c r="S42" s="8" t="n">
        <x:v>2.843</x:v>
      </x:c>
      <x:c r="T42" s="8" t="n">
        <x:v>2.871</x:v>
      </x:c>
      <x:c r="U42" s="8" t="n">
        <x:v>2.899</x:v>
      </x:c>
      <x:c r="V42" s="8" t="n">
        <x:v>2.926</x:v>
      </x:c>
      <x:c r="W42" s="8" t="n">
        <x:v>2.954</x:v>
      </x:c>
    </x:row>
    <x:row r="43" ht="21" customHeight="1">
      <x:c r="A43" s="8" t="n">
        <x:v>85</x:v>
      </x:c>
      <x:c r="B43" s="8" t="n">
        <x:v>14.874</x:v>
      </x:c>
      <x:c r="C43" s="8" t="n">
        <x:v>2.367</x:v>
      </x:c>
      <x:c r="D43" s="8" t="n">
        <x:v>2.401</x:v>
      </x:c>
      <x:c r="E43" s="8" t="n">
        <x:v>2.434</x:v>
      </x:c>
      <x:c r="F43" s="8" t="n">
        <x:v>2.467</x:v>
      </x:c>
      <x:c r="G43" s="8" t="n">
        <x:v>2.499</x:v>
      </x:c>
      <x:c r="H43" s="8" t="n">
        <x:v>2.53</x:v>
      </x:c>
      <x:c r="I43" s="8" t="n">
        <x:v>2.561</x:v>
      </x:c>
      <x:c r="J43" s="8" t="n">
        <x:v>2.591</x:v>
      </x:c>
      <x:c r="K43" s="8" t="n">
        <x:v>2.621</x:v>
      </x:c>
      <x:c r="L43" s="8" t="n">
        <x:v>2.651</x:v>
      </x:c>
      <x:c r="M43" s="8" t="n">
        <x:v>2.68</x:v>
      </x:c>
      <x:c r="N43" s="8" t="n">
        <x:v>2.71</x:v>
      </x:c>
      <x:c r="O43" s="8" t="n">
        <x:v>2.738</x:v>
      </x:c>
      <x:c r="P43" s="8" t="n">
        <x:v>2.767</x:v>
      </x:c>
      <x:c r="Q43" s="8" t="n">
        <x:v>2.796</x:v>
      </x:c>
      <x:c r="R43" s="8" t="n">
        <x:v>2.824</x:v>
      </x:c>
      <x:c r="S43" s="8" t="n">
        <x:v>2.852</x:v>
      </x:c>
      <x:c r="T43" s="8" t="n">
        <x:v>2.88</x:v>
      </x:c>
      <x:c r="U43" s="8" t="n">
        <x:v>2.908</x:v>
      </x:c>
      <x:c r="V43" s="8" t="n">
        <x:v>2.935</x:v>
      </x:c>
      <x:c r="W43" s="8" t="n">
        <x:v>2.963</x:v>
      </x:c>
    </x:row>
    <x:row r="44" ht="21" customHeight="1">
      <x:c r="A44" s="8" t="n">
        <x:v>90</x:v>
      </x:c>
      <x:c r="B44" s="8" t="n">
        <x:v>16.42</x:v>
      </x:c>
      <x:c r="C44" s="8" t="n">
        <x:v>2.371</x:v>
      </x:c>
      <x:c r="D44" s="8" t="n">
        <x:v>2.406</x:v>
      </x:c>
      <x:c r="E44" s="8" t="n">
        <x:v>2.44</x:v>
      </x:c>
      <x:c r="F44" s="8" t="n">
        <x:v>2.473</x:v>
      </x:c>
      <x:c r="G44" s="8" t="n">
        <x:v>2.506</x:v>
      </x:c>
      <x:c r="H44" s="8" t="n">
        <x:v>2.537</x:v>
      </x:c>
      <x:c r="I44" s="8" t="n">
        <x:v>2.569</x:v>
      </x:c>
      <x:c r="J44" s="8" t="n">
        <x:v>2.599</x:v>
      </x:c>
      <x:c r="K44" s="8" t="n">
        <x:v>2.629</x:v>
      </x:c>
      <x:c r="L44" s="8" t="n">
        <x:v>2.659</x:v>
      </x:c>
      <x:c r="M44" s="8" t="n">
        <x:v>2.689</x:v>
      </x:c>
      <x:c r="N44" s="8" t="n">
        <x:v>2.718</x:v>
      </x:c>
      <x:c r="O44" s="8" t="n">
        <x:v>2.747</x:v>
      </x:c>
      <x:c r="P44" s="8" t="n">
        <x:v>2.776</x:v>
      </x:c>
      <x:c r="Q44" s="8" t="n">
        <x:v>2.805</x:v>
      </x:c>
      <x:c r="R44" s="8" t="n">
        <x:v>2.833</x:v>
      </x:c>
      <x:c r="S44" s="8" t="n">
        <x:v>2.861</x:v>
      </x:c>
      <x:c r="T44" s="8" t="n">
        <x:v>2.889</x:v>
      </x:c>
      <x:c r="U44" s="8" t="n">
        <x:v>2.917</x:v>
      </x:c>
      <x:c r="V44" s="8" t="n">
        <x:v>2.945</x:v>
      </x:c>
      <x:c r="W44" s="8" t="n">
        <x:v>2.972</x:v>
      </x:c>
    </x:row>
    <x:row r="45" ht="21" customHeight="1">
      <x:c r="A45" s="8" t="n">
        <x:v>95</x:v>
      </x:c>
      <x:c r="B45" s="8" t="n">
        <x:v>18.081</x:v>
      </x:c>
      <x:c r="C45" s="8" t="n">
        <x:v>2.374</x:v>
      </x:c>
      <x:c r="D45" s="8" t="n">
        <x:v>2.411</x:v>
      </x:c>
      <x:c r="E45" s="8" t="n">
        <x:v>2.446</x:v>
      </x:c>
      <x:c r="F45" s="8" t="n">
        <x:v>2.48</x:v>
      </x:c>
      <x:c r="G45" s="8" t="n">
        <x:v>2.513</x:v>
      </x:c>
      <x:c r="H45" s="8" t="n">
        <x:v>2.545</x:v>
      </x:c>
      <x:c r="I45" s="8" t="n">
        <x:v>2.576</x:v>
      </x:c>
      <x:c r="J45" s="8" t="n">
        <x:v>2.607</x:v>
      </x:c>
      <x:c r="K45" s="8" t="n">
        <x:v>2.638</x:v>
      </x:c>
      <x:c r="L45" s="8" t="n">
        <x:v>2.668</x:v>
      </x:c>
      <x:c r="M45" s="8" t="n">
        <x:v>2.697</x:v>
      </x:c>
      <x:c r="N45" s="8" t="n">
        <x:v>2.727</x:v>
      </x:c>
      <x:c r="O45" s="8" t="n">
        <x:v>2.756</x:v>
      </x:c>
      <x:c r="P45" s="8" t="n">
        <x:v>2.785</x:v>
      </x:c>
      <x:c r="Q45" s="8" t="n">
        <x:v>2.814</x:v>
      </x:c>
      <x:c r="R45" s="8" t="n">
        <x:v>2.842</x:v>
      </x:c>
      <x:c r="S45" s="8" t="n">
        <x:v>2.87</x:v>
      </x:c>
      <x:c r="T45" s="8" t="n">
        <x:v>2.898</x:v>
      </x:c>
      <x:c r="U45" s="8" t="n">
        <x:v>2.926</x:v>
      </x:c>
      <x:c r="V45" s="8" t="n">
        <x:v>2.954</x:v>
      </x:c>
      <x:c r="W45" s="8" t="n">
        <x:v>2.982</x:v>
      </x:c>
    </x:row>
    <x:row r="46" ht="21" customHeight="1">
      <x:c r="A46" s="8" t="n">
        <x:v>100</x:v>
      </x:c>
      <x:c r="B46" s="8" t="n">
        <x:v>19.865</x:v>
      </x:c>
      <x:c r="C46" s="8" t="n">
        <x:v>2.377</x:v>
      </x:c>
      <x:c r="D46" s="8" t="n">
        <x:v>2.415</x:v>
      </x:c>
      <x:c r="E46" s="8" t="n">
        <x:v>2.451</x:v>
      </x:c>
      <x:c r="F46" s="8" t="n">
        <x:v>2.486</x:v>
      </x:c>
      <x:c r="G46" s="8" t="n">
        <x:v>2.519</x:v>
      </x:c>
      <x:c r="H46" s="8" t="n">
        <x:v>2.552</x:v>
      </x:c>
      <x:c r="I46" s="8" t="n">
        <x:v>2.584</x:v>
      </x:c>
      <x:c r="J46" s="8" t="n">
        <x:v>2.615</x:v>
      </x:c>
      <x:c r="K46" s="8" t="n">
        <x:v>2.646</x:v>
      </x:c>
      <x:c r="L46" s="8" t="n">
        <x:v>2.676</x:v>
      </x:c>
      <x:c r="M46" s="8" t="n">
        <x:v>2.706</x:v>
      </x:c>
      <x:c r="N46" s="8" t="n">
        <x:v>2.736</x:v>
      </x:c>
      <x:c r="O46" s="8" t="n">
        <x:v>2.765</x:v>
      </x:c>
      <x:c r="P46" s="8" t="n">
        <x:v>2.794</x:v>
      </x:c>
      <x:c r="Q46" s="8" t="n">
        <x:v>2.823</x:v>
      </x:c>
      <x:c r="R46" s="8" t="n">
        <x:v>2.851</x:v>
      </x:c>
      <x:c r="S46" s="8" t="n">
        <x:v>2.88</x:v>
      </x:c>
      <x:c r="T46" s="8" t="n">
        <x:v>2.908</x:v>
      </x:c>
      <x:c r="U46" s="8" t="n">
        <x:v>2.936</x:v>
      </x:c>
      <x:c r="V46" s="8" t="n">
        <x:v>2.964</x:v>
      </x:c>
      <x:c r="W46" s="8" t="n">
        <x:v>2.991</x:v>
      </x:c>
    </x:row>
    <x:row r="47" ht="21" customHeight="1">
      <x:c r="A47" s="8" t="n">
        <x:v>105</x:v>
      </x:c>
      <x:c r="B47" s="8" t="n">
        <x:v>21.778</x:v>
      </x:c>
      <x:c r="C47" s="8" t="n">
        <x:v>2.378</x:v>
      </x:c>
      <x:c r="D47" s="8" t="n">
        <x:v>2.419</x:v>
      </x:c>
      <x:c r="E47" s="8" t="n">
        <x:v>2.456</x:v>
      </x:c>
      <x:c r="F47" s="8" t="n">
        <x:v>2.492</x:v>
      </x:c>
      <x:c r="G47" s="8" t="n">
        <x:v>2.526</x:v>
      </x:c>
      <x:c r="H47" s="8" t="n">
        <x:v>2.559</x:v>
      </x:c>
      <x:c r="I47" s="8" t="n">
        <x:v>2.591</x:v>
      </x:c>
      <x:c r="J47" s="8" t="n">
        <x:v>2.623</x:v>
      </x:c>
      <x:c r="K47" s="8" t="n">
        <x:v>2.654</x:v>
      </x:c>
      <x:c r="L47" s="8" t="n">
        <x:v>2.684</x:v>
      </x:c>
      <x:c r="M47" s="8" t="n">
        <x:v>2.715</x:v>
      </x:c>
      <x:c r="N47" s="8" t="n">
        <x:v>2.744</x:v>
      </x:c>
      <x:c r="O47" s="8" t="n">
        <x:v>2.774</x:v>
      </x:c>
      <x:c r="P47" s="8" t="n">
        <x:v>2.803</x:v>
      </x:c>
      <x:c r="Q47" s="8" t="n">
        <x:v>2.832</x:v>
      </x:c>
      <x:c r="R47" s="8" t="n">
        <x:v>2.861</x:v>
      </x:c>
      <x:c r="S47" s="8" t="n">
        <x:v>2.889</x:v>
      </x:c>
      <x:c r="T47" s="8" t="n">
        <x:v>2.917</x:v>
      </x:c>
      <x:c r="U47" s="8" t="n">
        <x:v>2.945</x:v>
      </x:c>
      <x:c r="V47" s="8" t="n">
        <x:v>2.973</x:v>
      </x:c>
      <x:c r="W47" s="8" t="n">
        <x:v>3.001</x:v>
      </x:c>
    </x:row>
    <x:row r="48" ht="21" customHeight="1">
      <x:c r="A48" s="8" t="n">
        <x:v>110</x:v>
      </x:c>
      <x:c r="B48" s="8" t="n">
        <x:v>23.826</x:v>
      </x:c>
      <x:c r="C48" s="8" t="n">
        <x:v>2.379</x:v>
      </x:c>
      <x:c r="D48" s="8" t="n">
        <x:v>2.421</x:v>
      </x:c>
      <x:c r="E48" s="8" t="n">
        <x:v>2.46</x:v>
      </x:c>
      <x:c r="F48" s="8" t="n">
        <x:v>2.497</x:v>
      </x:c>
      <x:c r="G48" s="8" t="n">
        <x:v>2.532</x:v>
      </x:c>
      <x:c r="H48" s="8" t="n">
        <x:v>2.566</x:v>
      </x:c>
      <x:c r="I48" s="8" t="n">
        <x:v>2.598</x:v>
      </x:c>
      <x:c r="J48" s="8" t="n">
        <x:v>2.63</x:v>
      </x:c>
      <x:c r="K48" s="8" t="n">
        <x:v>2.662</x:v>
      </x:c>
      <x:c r="L48" s="8" t="n">
        <x:v>2.693</x:v>
      </x:c>
      <x:c r="M48" s="8" t="n">
        <x:v>2.723</x:v>
      </x:c>
      <x:c r="N48" s="8" t="n">
        <x:v>2.753</x:v>
      </x:c>
      <x:c r="O48" s="8" t="n">
        <x:v>2.783</x:v>
      </x:c>
      <x:c r="P48" s="8" t="n">
        <x:v>2.812</x:v>
      </x:c>
      <x:c r="Q48" s="8" t="n">
        <x:v>2.841</x:v>
      </x:c>
      <x:c r="R48" s="8" t="n">
        <x:v>2.87</x:v>
      </x:c>
      <x:c r="S48" s="8" t="n">
        <x:v>2.899</x:v>
      </x:c>
      <x:c r="T48" s="8" t="n">
        <x:v>2.927</x:v>
      </x:c>
      <x:c r="U48" s="8" t="n">
        <x:v>2.955</x:v>
      </x:c>
      <x:c r="V48" s="8" t="n">
        <x:v>2.983</x:v>
      </x:c>
      <x:c r="W48" s="8" t="n">
        <x:v>3.011</x:v>
      </x:c>
    </x:row>
    <x:row r="49" ht="21" customHeight="1">
      <x:c r="A49" s="8" t="n">
        <x:v>115</x:v>
      </x:c>
      <x:c r="B49" s="8" t="n">
        <x:v>26.019</x:v>
      </x:c>
      <x:c r="C49" s="8" t="n">
        <x:v>2.377</x:v>
      </x:c>
      <x:c r="D49" s="8" t="n">
        <x:v>2.423</x:v>
      </x:c>
      <x:c r="E49" s="8" t="n">
        <x:v>2.464</x:v>
      </x:c>
      <x:c r="F49" s="8" t="n">
        <x:v>2.502</x:v>
      </x:c>
      <x:c r="G49" s="8" t="n">
        <x:v>2.538</x:v>
      </x:c>
      <x:c r="H49" s="8" t="n">
        <x:v>2.572</x:v>
      </x:c>
      <x:c r="I49" s="8" t="n">
        <x:v>2.606</x:v>
      </x:c>
      <x:c r="J49" s="8" t="n">
        <x:v>2.638</x:v>
      </x:c>
      <x:c r="K49" s="8" t="n">
        <x:v>2.67</x:v>
      </x:c>
      <x:c r="L49" s="8" t="n">
        <x:v>2.701</x:v>
      </x:c>
      <x:c r="M49" s="8" t="n">
        <x:v>2.732</x:v>
      </x:c>
      <x:c r="N49" s="8" t="n">
        <x:v>2.762</x:v>
      </x:c>
      <x:c r="O49" s="8" t="n">
        <x:v>2.792</x:v>
      </x:c>
      <x:c r="P49" s="8" t="n">
        <x:v>2.821</x:v>
      </x:c>
      <x:c r="Q49" s="8" t="n">
        <x:v>2.851</x:v>
      </x:c>
      <x:c r="R49" s="8" t="n">
        <x:v>2.88</x:v>
      </x:c>
      <x:c r="S49" s="8" t="n">
        <x:v>2.908</x:v>
      </x:c>
      <x:c r="T49" s="8" t="n">
        <x:v>2.937</x:v>
      </x:c>
      <x:c r="U49" s="8" t="n">
        <x:v>2.965</x:v>
      </x:c>
      <x:c r="V49" s="8" t="n">
        <x:v>2.993</x:v>
      </x:c>
      <x:c r="W49" s="8" t="n">
        <x:v>3.021</x:v>
      </x:c>
    </x:row>
    <x:row r="50" ht="21" customHeight="1">
      <x:c r="A50" s="8" t="n">
        <x:v>120</x:v>
      </x:c>
      <x:c r="B50" s="8" t="n">
        <x:v>28.366</x:v>
      </x:c>
      <x:c r="C50" s="8" t="n">
        <x:v>2.371</x:v>
      </x:c>
      <x:c r="D50" s="8" t="n">
        <x:v>2.424</x:v>
      </x:c>
      <x:c r="E50" s="8" t="n">
        <x:v>2.467</x:v>
      </x:c>
      <x:c r="F50" s="8" t="n">
        <x:v>2.507</x:v>
      </x:c>
      <x:c r="G50" s="8" t="n">
        <x:v>2.543</x:v>
      </x:c>
      <x:c r="H50" s="8" t="n">
        <x:v>2.579</x:v>
      </x:c>
      <x:c r="I50" s="8" t="n">
        <x:v>2.613</x:v>
      </x:c>
      <x:c r="J50" s="8" t="n">
        <x:v>2.646</x:v>
      </x:c>
      <x:c r="K50" s="8" t="n">
        <x:v>2.678</x:v>
      </x:c>
      <x:c r="L50" s="8" t="n">
        <x:v>2.709</x:v>
      </x:c>
      <x:c r="M50" s="8" t="n">
        <x:v>2.74</x:v>
      </x:c>
      <x:c r="N50" s="8" t="n">
        <x:v>2.771</x:v>
      </x:c>
      <x:c r="O50" s="8" t="n">
        <x:v>2.801</x:v>
      </x:c>
      <x:c r="P50" s="8" t="n">
        <x:v>2.831</x:v>
      </x:c>
      <x:c r="Q50" s="8" t="n">
        <x:v>2.86</x:v>
      </x:c>
      <x:c r="R50" s="8" t="n">
        <x:v>2.889</x:v>
      </x:c>
      <x:c r="S50" s="8" t="n">
        <x:v>2.918</x:v>
      </x:c>
      <x:c r="T50" s="8" t="n">
        <x:v>2.946</x:v>
      </x:c>
      <x:c r="U50" s="8" t="n">
        <x:v>2.975</x:v>
      </x:c>
      <x:c r="V50" s="8" t="n">
        <x:v>3.003</x:v>
      </x:c>
      <x:c r="W50" s="8" t="n">
        <x:v>3.031</x:v>
      </x:c>
    </x:row>
    <x:row r="51" ht="21" customHeight="1">
      <x:c r="A51" s="8" t="n">
        <x:v>125</x:v>
      </x:c>
      <x:c r="B51" s="8" t="n">
        <x:v>30.88</x:v>
      </x:c>
      <x:c r="C51" s="8" t="n">
        <x:v>2.361</x:v>
      </x:c>
      <x:c r="D51" s="8" t="n">
        <x:v>2.423</x:v>
      </x:c>
      <x:c r="E51" s="8" t="n">
        <x:v>2.469</x:v>
      </x:c>
      <x:c r="F51" s="8" t="n">
        <x:v>2.511</x:v>
      </x:c>
      <x:c r="G51" s="8" t="n">
        <x:v>2.549</x:v>
      </x:c>
      <x:c r="H51" s="8" t="n">
        <x:v>2.585</x:v>
      </x:c>
      <x:c r="I51" s="8" t="n">
        <x:v>2.619</x:v>
      </x:c>
      <x:c r="J51" s="8" t="n">
        <x:v>2.653</x:v>
      </x:c>
      <x:c r="K51" s="8" t="n">
        <x:v>2.685</x:v>
      </x:c>
      <x:c r="L51" s="8" t="n">
        <x:v>2.717</x:v>
      </x:c>
      <x:c r="M51" s="8" t="n">
        <x:v>2.749</x:v>
      </x:c>
      <x:c r="N51" s="8" t="n">
        <x:v>2.779</x:v>
      </x:c>
      <x:c r="O51" s="8" t="n">
        <x:v>2.81</x:v>
      </x:c>
      <x:c r="P51" s="8" t="n">
        <x:v>2.84</x:v>
      </x:c>
      <x:c r="Q51" s="8" t="n">
        <x:v>2.869</x:v>
      </x:c>
      <x:c r="R51" s="8" t="n">
        <x:v>2.898</x:v>
      </x:c>
      <x:c r="S51" s="8" t="n">
        <x:v>2.927</x:v>
      </x:c>
      <x:c r="T51" s="8" t="n">
        <x:v>2.956</x:v>
      </x:c>
      <x:c r="U51" s="8" t="n">
        <x:v>2.985</x:v>
      </x:c>
      <x:c r="V51" s="8" t="n">
        <x:v>3.013</x:v>
      </x:c>
      <x:c r="W51" s="8" t="n">
        <x:v>3.041</x:v>
      </x:c>
    </x:row>
    <x:row r="52" ht="21" customHeight="1">
      <x:c r="A52" s="8" t="n">
        <x:v>130</x:v>
      </x:c>
      <x:c r="B52" s="8" t="n">
        <x:v>33.578</x:v>
      </x:c>
      <x:c r="C52" s="8" t="n">
        <x:v>2.34</x:v>
      </x:c>
      <x:c r="D52" s="8" t="n">
        <x:v>2.419</x:v>
      </x:c>
      <x:c r="E52" s="8" t="n">
        <x:v>2.47</x:v>
      </x:c>
      <x:c r="F52" s="8" t="n">
        <x:v>2.514</x:v>
      </x:c>
      <x:c r="G52" s="8" t="n">
        <x:v>2.553</x:v>
      </x:c>
      <x:c r="H52" s="8" t="n">
        <x:v>2.59</x:v>
      </x:c>
      <x:c r="I52" s="8" t="n">
        <x:v>2.626</x:v>
      </x:c>
      <x:c r="J52" s="8" t="n">
        <x:v>2.66</x:v>
      </x:c>
      <x:c r="K52" s="8" t="n">
        <x:v>2.693</x:v>
      </x:c>
      <x:c r="L52" s="8" t="n">
        <x:v>2.725</x:v>
      </x:c>
      <x:c r="M52" s="8" t="n">
        <x:v>2.757</x:v>
      </x:c>
      <x:c r="N52" s="8" t="n">
        <x:v>2.788</x:v>
      </x:c>
      <x:c r="O52" s="8" t="n">
        <x:v>2.819</x:v>
      </x:c>
      <x:c r="P52" s="8" t="n">
        <x:v>2.849</x:v>
      </x:c>
      <x:c r="Q52" s="8" t="n">
        <x:v>2.878</x:v>
      </x:c>
      <x:c r="R52" s="8" t="n">
        <x:v>2.908</x:v>
      </x:c>
      <x:c r="S52" s="8" t="n">
        <x:v>2.937</x:v>
      </x:c>
      <x:c r="T52" s="8" t="n">
        <x:v>2.966</x:v>
      </x:c>
      <x:c r="U52" s="8" t="n">
        <x:v>2.994</x:v>
      </x:c>
      <x:c r="V52" s="8" t="n">
        <x:v>3.023</x:v>
      </x:c>
      <x:c r="W52" s="8" t="n">
        <x:v>3.051</x:v>
      </x:c>
    </x:row>
  </x:sheetData>
  <x:mergeCells>
    <x:mergeCell ref="A1:H1"/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1b15b6b6174047e4"/>
  </x:tableParts>
</x:worksheet>
</file>